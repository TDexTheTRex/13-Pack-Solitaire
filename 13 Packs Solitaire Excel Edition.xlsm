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rent\Desktop\"/>
    </mc:Choice>
  </mc:AlternateContent>
  <xr:revisionPtr revIDLastSave="0" documentId="8_{FC1457DB-6B0C-4F90-B4D0-66438318E299}" xr6:coauthVersionLast="47" xr6:coauthVersionMax="47" xr10:uidLastSave="{00000000-0000-0000-0000-000000000000}"/>
  <bookViews>
    <workbookView xWindow="6735" yWindow="2670" windowWidth="7500" windowHeight="11385" xr2:uid="{C7D3C75D-1460-40D0-9CD3-F20582EA4EC8}"/>
  </bookViews>
  <sheets>
    <sheet name="How to play 13 Packs Solitaire" sheetId="12" r:id="rId1"/>
    <sheet name="Play 13 Packs Solitaire" sheetId="10" r:id="rId2"/>
    <sheet name="Play 13 Packs (Dev View)" sheetId="14" state="hidden" r:id="rId3"/>
    <sheet name="Display Map" sheetId="7" state="hidden" r:id="rId4"/>
    <sheet name="Selections" sheetId="8" state="hidden" r:id="rId5"/>
    <sheet name="Tables" sheetId="1" state="hidden" r:id="rId6"/>
    <sheet name="Move History" sheetId="15" state="hidden" r:id="rId7"/>
    <sheet name="Analytics" sheetId="13" state="hidden" r:id="rId8"/>
    <sheet name="Template for display mapping" sheetId="9" state="hidden" r:id="rId9"/>
  </sheets>
  <definedNames>
    <definedName name="_xleta.LEFT" hidden="1" xlm="1">#NAME?</definedName>
    <definedName name="_xleta.SHEE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U6" i="14" l="1"/>
  <c r="AR8" i="1"/>
  <c r="CU5" i="14" l="1"/>
  <c r="CL37" i="14"/>
  <c r="CG37" i="14"/>
  <c r="CB37" i="14"/>
  <c r="BW37" i="14"/>
  <c r="BR37" i="14"/>
  <c r="BM37" i="14"/>
  <c r="BH37" i="14"/>
  <c r="BC37" i="14"/>
  <c r="AX37" i="14"/>
  <c r="AS37" i="14"/>
  <c r="AN37" i="14"/>
  <c r="AI37" i="14"/>
  <c r="AD37" i="14"/>
  <c r="V35" i="14"/>
  <c r="M34" i="14"/>
  <c r="V33" i="14"/>
  <c r="V31" i="14"/>
  <c r="V29" i="14"/>
  <c r="N28" i="14"/>
  <c r="I28" i="14"/>
  <c r="V27" i="14"/>
  <c r="V25" i="14"/>
  <c r="V23" i="14"/>
  <c r="V21" i="14"/>
  <c r="N21" i="14"/>
  <c r="I21" i="14"/>
  <c r="V19" i="14"/>
  <c r="V17" i="14"/>
  <c r="V15" i="14"/>
  <c r="N14" i="14"/>
  <c r="I14" i="14"/>
  <c r="V13" i="14"/>
  <c r="V11" i="14"/>
  <c r="V9" i="14"/>
  <c r="V7" i="14"/>
  <c r="N7" i="14"/>
  <c r="I7" i="14"/>
  <c r="V5" i="14"/>
  <c r="BH20" i="13"/>
  <c r="BI20" i="13"/>
  <c r="BJ20" i="13"/>
  <c r="BH21" i="13"/>
  <c r="BI21" i="13"/>
  <c r="BJ21" i="13"/>
  <c r="BH22" i="13"/>
  <c r="BI22" i="13"/>
  <c r="BJ22" i="13"/>
  <c r="BH23" i="13"/>
  <c r="BI23" i="13"/>
  <c r="BJ23" i="13"/>
  <c r="BH24" i="13"/>
  <c r="BI24" i="13"/>
  <c r="BJ24" i="13"/>
  <c r="BH25" i="13"/>
  <c r="BI25" i="13"/>
  <c r="BJ25" i="13"/>
  <c r="BH26" i="13"/>
  <c r="BI26" i="13"/>
  <c r="BJ26" i="13"/>
  <c r="BH27" i="13"/>
  <c r="BI27" i="13"/>
  <c r="BJ27" i="13"/>
  <c r="BH28" i="13"/>
  <c r="BI28" i="13"/>
  <c r="BJ28" i="13"/>
  <c r="BH29" i="13"/>
  <c r="BI29" i="13"/>
  <c r="BJ29" i="13"/>
  <c r="BH30" i="13"/>
  <c r="BI30" i="13"/>
  <c r="BJ30" i="13"/>
  <c r="BH31" i="13"/>
  <c r="BI31" i="13"/>
  <c r="BJ31" i="13"/>
  <c r="BH32" i="13"/>
  <c r="BI32" i="13"/>
  <c r="BJ32" i="13"/>
  <c r="BG21" i="13"/>
  <c r="BG22" i="13"/>
  <c r="BG23" i="13"/>
  <c r="BG24" i="13"/>
  <c r="BG25" i="13"/>
  <c r="BG26" i="13"/>
  <c r="BG27" i="13"/>
  <c r="BG28" i="13"/>
  <c r="BG29" i="13"/>
  <c r="BG30" i="13"/>
  <c r="BG31" i="13"/>
  <c r="BG32" i="13"/>
  <c r="BG20" i="13"/>
  <c r="BD20" i="13"/>
  <c r="BE20" i="13"/>
  <c r="BF20" i="13"/>
  <c r="BD21" i="13"/>
  <c r="BE21" i="13"/>
  <c r="BF21" i="13"/>
  <c r="BD22" i="13"/>
  <c r="BE22" i="13"/>
  <c r="BF22" i="13"/>
  <c r="BD23" i="13"/>
  <c r="BE23" i="13"/>
  <c r="BF23" i="13"/>
  <c r="BD24" i="13"/>
  <c r="BE24" i="13"/>
  <c r="BF24" i="13"/>
  <c r="BD25" i="13"/>
  <c r="BE25" i="13"/>
  <c r="BF25" i="13"/>
  <c r="BD26" i="13"/>
  <c r="BE26" i="13"/>
  <c r="BF26" i="13"/>
  <c r="BD27" i="13"/>
  <c r="BE27" i="13"/>
  <c r="BF27" i="13"/>
  <c r="BD28" i="13"/>
  <c r="BE28" i="13"/>
  <c r="BF28" i="13"/>
  <c r="BD29" i="13"/>
  <c r="BE29" i="13"/>
  <c r="BF29" i="13"/>
  <c r="BD30" i="13"/>
  <c r="BE30" i="13"/>
  <c r="BF30" i="13"/>
  <c r="BD31" i="13"/>
  <c r="BE31" i="13"/>
  <c r="BF31" i="13"/>
  <c r="BD32" i="13"/>
  <c r="BE32" i="13"/>
  <c r="BF32" i="13"/>
  <c r="BC21" i="13"/>
  <c r="BC22" i="13"/>
  <c r="BC23" i="13"/>
  <c r="BC24" i="13"/>
  <c r="BC25" i="13"/>
  <c r="BC26" i="13"/>
  <c r="BC27" i="13"/>
  <c r="BC28" i="13"/>
  <c r="BC29" i="13"/>
  <c r="BC30" i="13"/>
  <c r="BC31" i="13"/>
  <c r="BC32" i="13"/>
  <c r="BC20" i="13"/>
  <c r="BG5" i="13"/>
  <c r="BH5" i="13"/>
  <c r="BI5" i="13"/>
  <c r="BJ5" i="13"/>
  <c r="BG6" i="13"/>
  <c r="BH6" i="13"/>
  <c r="BI6" i="13"/>
  <c r="BJ6" i="13"/>
  <c r="BG7" i="13"/>
  <c r="BH7" i="13"/>
  <c r="BI7" i="13"/>
  <c r="BJ7" i="13"/>
  <c r="BG8" i="13"/>
  <c r="BH8" i="13"/>
  <c r="BI8" i="13"/>
  <c r="BJ8" i="13"/>
  <c r="BG9" i="13"/>
  <c r="BH9" i="13"/>
  <c r="BI9" i="13"/>
  <c r="BJ9" i="13"/>
  <c r="BG10" i="13"/>
  <c r="BH10" i="13"/>
  <c r="BI10" i="13"/>
  <c r="BJ10" i="13"/>
  <c r="BG11" i="13"/>
  <c r="BH11" i="13"/>
  <c r="BI11" i="13"/>
  <c r="BJ11" i="13"/>
  <c r="BG12" i="13"/>
  <c r="BH12" i="13"/>
  <c r="BI12" i="13"/>
  <c r="BJ12" i="13"/>
  <c r="BG13" i="13"/>
  <c r="BH13" i="13"/>
  <c r="BI13" i="13"/>
  <c r="BJ13" i="13"/>
  <c r="BG14" i="13"/>
  <c r="BH14" i="13"/>
  <c r="BI14" i="13"/>
  <c r="BJ14" i="13"/>
  <c r="BG15" i="13"/>
  <c r="BH15" i="13"/>
  <c r="BI15" i="13"/>
  <c r="BJ15" i="13"/>
  <c r="BG16" i="13"/>
  <c r="BH16" i="13"/>
  <c r="BI16" i="13"/>
  <c r="BJ16" i="13"/>
  <c r="BH4" i="13"/>
  <c r="BI4" i="13"/>
  <c r="BJ4" i="13"/>
  <c r="BG4" i="13"/>
  <c r="BD4" i="13"/>
  <c r="BE4" i="13"/>
  <c r="BF4" i="13"/>
  <c r="BD5" i="13"/>
  <c r="BE5" i="13"/>
  <c r="BF5" i="13"/>
  <c r="BD6" i="13"/>
  <c r="BE6" i="13"/>
  <c r="BF6" i="13"/>
  <c r="BD7" i="13"/>
  <c r="BE7" i="13"/>
  <c r="BF7" i="13"/>
  <c r="BD8" i="13"/>
  <c r="BE8" i="13"/>
  <c r="BF8" i="13"/>
  <c r="BD9" i="13"/>
  <c r="BE9" i="13"/>
  <c r="BF9" i="13"/>
  <c r="BD10" i="13"/>
  <c r="BE10" i="13"/>
  <c r="BF10" i="13"/>
  <c r="BD11" i="13"/>
  <c r="BE11" i="13"/>
  <c r="BF11" i="13"/>
  <c r="BD12" i="13"/>
  <c r="BE12" i="13"/>
  <c r="BF12" i="13"/>
  <c r="BD13" i="13"/>
  <c r="BE13" i="13"/>
  <c r="BF13" i="13"/>
  <c r="BD14" i="13"/>
  <c r="BE14" i="13"/>
  <c r="BF14" i="13"/>
  <c r="BD15" i="13"/>
  <c r="BE15" i="13"/>
  <c r="BF15" i="13"/>
  <c r="BD16" i="13"/>
  <c r="BE16" i="13"/>
  <c r="BF16" i="13"/>
  <c r="BC5" i="13"/>
  <c r="BC6" i="13"/>
  <c r="BC7" i="13"/>
  <c r="BC8" i="13"/>
  <c r="BC9" i="13"/>
  <c r="BC10" i="13"/>
  <c r="BC11" i="13"/>
  <c r="BC12" i="13"/>
  <c r="BC13" i="13"/>
  <c r="BC14" i="13"/>
  <c r="BC15" i="13"/>
  <c r="BC16" i="13"/>
  <c r="BC4" i="13"/>
  <c r="AV3" i="13"/>
  <c r="AV4" i="13"/>
  <c r="AV5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2" i="13"/>
  <c r="AU3" i="13"/>
  <c r="AU4" i="13"/>
  <c r="AU5" i="13"/>
  <c r="AU6" i="13"/>
  <c r="AU7" i="13"/>
  <c r="AU8" i="13"/>
  <c r="AU9" i="13"/>
  <c r="AU10" i="13"/>
  <c r="AU11" i="13"/>
  <c r="AU12" i="13"/>
  <c r="AU13" i="13"/>
  <c r="AU14" i="13"/>
  <c r="AU15" i="13"/>
  <c r="AU16" i="13"/>
  <c r="AU17" i="13"/>
  <c r="AU18" i="13"/>
  <c r="AU19" i="13"/>
  <c r="AU20" i="13"/>
  <c r="AU21" i="13"/>
  <c r="AU22" i="13"/>
  <c r="AU23" i="13"/>
  <c r="AU24" i="13"/>
  <c r="AU25" i="13"/>
  <c r="AU26" i="13"/>
  <c r="AU27" i="13"/>
  <c r="AU28" i="13"/>
  <c r="AU29" i="13"/>
  <c r="AU30" i="13"/>
  <c r="AU31" i="13"/>
  <c r="AU32" i="13"/>
  <c r="AU33" i="13"/>
  <c r="AU34" i="13"/>
  <c r="AU35" i="13"/>
  <c r="AU36" i="13"/>
  <c r="AU37" i="13"/>
  <c r="AU38" i="13"/>
  <c r="AU39" i="13"/>
  <c r="AU40" i="13"/>
  <c r="AU41" i="13"/>
  <c r="AU42" i="13"/>
  <c r="AU43" i="13"/>
  <c r="AU44" i="13"/>
  <c r="AU45" i="13"/>
  <c r="AU46" i="13"/>
  <c r="AU47" i="13"/>
  <c r="AU48" i="13"/>
  <c r="AU49" i="13"/>
  <c r="AU50" i="13"/>
  <c r="AU51" i="13"/>
  <c r="AU2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B25" i="13"/>
  <c r="AC25" i="13"/>
  <c r="AD25" i="13"/>
  <c r="AE25" i="13"/>
  <c r="AF25" i="13"/>
  <c r="AG25" i="13"/>
  <c r="AH25" i="13"/>
  <c r="AI25" i="13"/>
  <c r="AJ25" i="13"/>
  <c r="AK25" i="13"/>
  <c r="AL25" i="13"/>
  <c r="AM25" i="13"/>
  <c r="AN25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B27" i="13"/>
  <c r="AC27" i="13"/>
  <c r="AD27" i="13"/>
  <c r="AE27" i="13"/>
  <c r="AF27" i="13"/>
  <c r="AG27" i="13"/>
  <c r="AH27" i="13"/>
  <c r="AI27" i="13"/>
  <c r="AJ27" i="13"/>
  <c r="AK27" i="13"/>
  <c r="AL27" i="13"/>
  <c r="AM27" i="13"/>
  <c r="AN27" i="13"/>
  <c r="AB28" i="13"/>
  <c r="AC28" i="13"/>
  <c r="AD28" i="13"/>
  <c r="AE28" i="13"/>
  <c r="AF28" i="13"/>
  <c r="AG28" i="13"/>
  <c r="AH28" i="13"/>
  <c r="AI28" i="13"/>
  <c r="AJ28" i="13"/>
  <c r="AK28" i="13"/>
  <c r="AL28" i="13"/>
  <c r="AM28" i="13"/>
  <c r="AN28" i="13"/>
  <c r="AB29" i="13"/>
  <c r="AC29" i="13"/>
  <c r="AD29" i="13"/>
  <c r="AE29" i="13"/>
  <c r="AF29" i="13"/>
  <c r="AG29" i="13"/>
  <c r="AH29" i="13"/>
  <c r="AI29" i="13"/>
  <c r="AJ29" i="13"/>
  <c r="AK29" i="13"/>
  <c r="AL29" i="13"/>
  <c r="AM29" i="13"/>
  <c r="AN29" i="13"/>
  <c r="AB30" i="13"/>
  <c r="AC30" i="13"/>
  <c r="AD30" i="13"/>
  <c r="AE30" i="13"/>
  <c r="AF30" i="13"/>
  <c r="AG30" i="13"/>
  <c r="AH30" i="13"/>
  <c r="AI30" i="13"/>
  <c r="AJ30" i="13"/>
  <c r="AK30" i="13"/>
  <c r="AL30" i="13"/>
  <c r="AM30" i="13"/>
  <c r="AN30" i="13"/>
  <c r="AB31" i="13"/>
  <c r="AC31" i="13"/>
  <c r="AD31" i="13"/>
  <c r="AE31" i="13"/>
  <c r="AF31" i="13"/>
  <c r="AG31" i="13"/>
  <c r="AH31" i="13"/>
  <c r="AI31" i="13"/>
  <c r="AJ31" i="13"/>
  <c r="AK31" i="13"/>
  <c r="AL31" i="13"/>
  <c r="AM31" i="13"/>
  <c r="AN31" i="13"/>
  <c r="AB32" i="13"/>
  <c r="AC32" i="13"/>
  <c r="AD32" i="13"/>
  <c r="AE32" i="13"/>
  <c r="AF32" i="13"/>
  <c r="AG32" i="13"/>
  <c r="AH32" i="13"/>
  <c r="AI32" i="13"/>
  <c r="AJ32" i="13"/>
  <c r="AK32" i="13"/>
  <c r="AL32" i="13"/>
  <c r="AM32" i="13"/>
  <c r="AN32" i="13"/>
  <c r="AB33" i="13"/>
  <c r="AC33" i="13"/>
  <c r="AD33" i="13"/>
  <c r="AE33" i="13"/>
  <c r="AF33" i="13"/>
  <c r="AG33" i="13"/>
  <c r="AH33" i="13"/>
  <c r="AI33" i="13"/>
  <c r="AJ33" i="13"/>
  <c r="AK33" i="13"/>
  <c r="AL33" i="13"/>
  <c r="AM33" i="13"/>
  <c r="AN33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B19" i="13"/>
  <c r="AC2" i="13"/>
  <c r="AD2" i="13"/>
  <c r="AE2" i="13"/>
  <c r="AF2" i="13"/>
  <c r="AG2" i="13"/>
  <c r="AH2" i="13"/>
  <c r="AI2" i="13"/>
  <c r="AJ2" i="13"/>
  <c r="AK2" i="13"/>
  <c r="AL2" i="13"/>
  <c r="AM2" i="13"/>
  <c r="AN2" i="13"/>
  <c r="AC3" i="13"/>
  <c r="AD3" i="13"/>
  <c r="AE3" i="13"/>
  <c r="AF3" i="13"/>
  <c r="AG3" i="13"/>
  <c r="AH3" i="13"/>
  <c r="AI3" i="13"/>
  <c r="AJ3" i="13"/>
  <c r="AK3" i="13"/>
  <c r="AL3" i="13"/>
  <c r="AM3" i="13"/>
  <c r="AN3" i="13"/>
  <c r="AC4" i="13"/>
  <c r="AD4" i="13"/>
  <c r="AE4" i="13"/>
  <c r="AF4" i="13"/>
  <c r="AG4" i="13"/>
  <c r="AH4" i="13"/>
  <c r="AI4" i="13"/>
  <c r="AJ4" i="13"/>
  <c r="AK4" i="13"/>
  <c r="AL4" i="13"/>
  <c r="AM4" i="13"/>
  <c r="AN4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C6" i="13"/>
  <c r="AD6" i="13"/>
  <c r="AE6" i="13"/>
  <c r="AF6" i="13"/>
  <c r="AG6" i="13"/>
  <c r="AH6" i="13"/>
  <c r="AI6" i="13"/>
  <c r="AJ6" i="13"/>
  <c r="AK6" i="13"/>
  <c r="AL6" i="13"/>
  <c r="AM6" i="13"/>
  <c r="AN6" i="13"/>
  <c r="AC7" i="13"/>
  <c r="AD7" i="13"/>
  <c r="AE7" i="13"/>
  <c r="AF7" i="13"/>
  <c r="AG7" i="13"/>
  <c r="AH7" i="13"/>
  <c r="AI7" i="13"/>
  <c r="AJ7" i="13"/>
  <c r="AK7" i="13"/>
  <c r="AL7" i="13"/>
  <c r="AM7" i="13"/>
  <c r="AN7" i="13"/>
  <c r="AC8" i="13"/>
  <c r="AD8" i="13"/>
  <c r="AE8" i="13"/>
  <c r="AF8" i="13"/>
  <c r="AG8" i="13"/>
  <c r="AH8" i="13"/>
  <c r="AI8" i="13"/>
  <c r="AJ8" i="13"/>
  <c r="AK8" i="13"/>
  <c r="AL8" i="13"/>
  <c r="AM8" i="13"/>
  <c r="AN8" i="13"/>
  <c r="AC9" i="13"/>
  <c r="AD9" i="13"/>
  <c r="AE9" i="13"/>
  <c r="AF9" i="13"/>
  <c r="AG9" i="13"/>
  <c r="AH9" i="13"/>
  <c r="AI9" i="13"/>
  <c r="AJ9" i="13"/>
  <c r="AK9" i="13"/>
  <c r="AL9" i="13"/>
  <c r="AM9" i="13"/>
  <c r="AN9" i="13"/>
  <c r="AC10" i="13"/>
  <c r="AD10" i="13"/>
  <c r="AE10" i="13"/>
  <c r="AF10" i="13"/>
  <c r="AG10" i="13"/>
  <c r="AH10" i="13"/>
  <c r="AI10" i="13"/>
  <c r="AJ10" i="13"/>
  <c r="AK10" i="13"/>
  <c r="AL10" i="13"/>
  <c r="AM10" i="13"/>
  <c r="AN10" i="13"/>
  <c r="AC11" i="13"/>
  <c r="AD11" i="13"/>
  <c r="AE11" i="13"/>
  <c r="AF11" i="13"/>
  <c r="AG11" i="13"/>
  <c r="AH11" i="13"/>
  <c r="AI11" i="13"/>
  <c r="AJ11" i="13"/>
  <c r="AK11" i="13"/>
  <c r="AL11" i="13"/>
  <c r="AM11" i="13"/>
  <c r="AN11" i="13"/>
  <c r="AC12" i="13"/>
  <c r="AD12" i="13"/>
  <c r="AE12" i="13"/>
  <c r="AF12" i="13"/>
  <c r="AG12" i="13"/>
  <c r="AH12" i="13"/>
  <c r="AI12" i="13"/>
  <c r="AJ12" i="13"/>
  <c r="AK12" i="13"/>
  <c r="AL12" i="13"/>
  <c r="AM12" i="13"/>
  <c r="AN12" i="13"/>
  <c r="AC13" i="13"/>
  <c r="AD13" i="13"/>
  <c r="AE13" i="13"/>
  <c r="AF13" i="13"/>
  <c r="AG13" i="13"/>
  <c r="AH13" i="13"/>
  <c r="AI13" i="13"/>
  <c r="AJ13" i="13"/>
  <c r="AK13" i="13"/>
  <c r="AL13" i="13"/>
  <c r="AM13" i="13"/>
  <c r="AN13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B3" i="13"/>
  <c r="AB4" i="13"/>
  <c r="AB5" i="13"/>
  <c r="AB6" i="13"/>
  <c r="AB7" i="13"/>
  <c r="AB8" i="13"/>
  <c r="AB9" i="13"/>
  <c r="AB10" i="13"/>
  <c r="AB11" i="13"/>
  <c r="AB12" i="13"/>
  <c r="AB13" i="13"/>
  <c r="AB14" i="13"/>
  <c r="AB15" i="13"/>
  <c r="AB16" i="13"/>
  <c r="AB2" i="13"/>
  <c r="F15" i="8"/>
  <c r="B13" i="8"/>
  <c r="BB2" i="1"/>
  <c r="CB37" i="10"/>
  <c r="BW37" i="10"/>
  <c r="B11" i="8"/>
  <c r="B10" i="8"/>
  <c r="I7" i="10"/>
  <c r="N28" i="10"/>
  <c r="N21" i="10"/>
  <c r="N14" i="10"/>
  <c r="N7" i="10"/>
  <c r="I28" i="10"/>
  <c r="I21" i="10"/>
  <c r="I14" i="10"/>
  <c r="AL21" i="1"/>
  <c r="AL20" i="1"/>
  <c r="AL19" i="1"/>
  <c r="AL18" i="1"/>
  <c r="AF19" i="1"/>
  <c r="AF20" i="1"/>
  <c r="AF21" i="1"/>
  <c r="AF18" i="1"/>
  <c r="AM21" i="1"/>
  <c r="K10" i="8" s="1"/>
  <c r="AM20" i="1"/>
  <c r="K9" i="8" s="1"/>
  <c r="AM19" i="1"/>
  <c r="K8" i="8" s="1"/>
  <c r="AM18" i="1"/>
  <c r="K7" i="8" s="1"/>
  <c r="AG19" i="1"/>
  <c r="K4" i="8" s="1"/>
  <c r="AG20" i="1"/>
  <c r="K5" i="8" s="1"/>
  <c r="AG21" i="1"/>
  <c r="K6" i="8" s="1"/>
  <c r="AG18" i="1"/>
  <c r="K3" i="8" s="1"/>
  <c r="B2" i="8"/>
  <c r="C2" i="8"/>
  <c r="L19" i="1"/>
  <c r="M19" i="1"/>
  <c r="N19" i="1"/>
  <c r="O19" i="1"/>
  <c r="P19" i="1"/>
  <c r="Q19" i="1"/>
  <c r="R19" i="1"/>
  <c r="S19" i="1"/>
  <c r="T19" i="1"/>
  <c r="U19" i="1"/>
  <c r="V19" i="1"/>
  <c r="W19" i="1"/>
  <c r="K19" i="1"/>
  <c r="CL37" i="10"/>
  <c r="CG37" i="10"/>
  <c r="BR37" i="10"/>
  <c r="BM37" i="10"/>
  <c r="BH37" i="10"/>
  <c r="BC37" i="10"/>
  <c r="AX37" i="10"/>
  <c r="AS37" i="10"/>
  <c r="AN37" i="10"/>
  <c r="AI37" i="10"/>
  <c r="AD37" i="10"/>
  <c r="CQ28" i="14" l="1"/>
  <c r="DU14" i="14"/>
  <c r="DU16" i="14"/>
  <c r="DO12" i="14"/>
  <c r="DP12" i="14"/>
  <c r="DP15" i="14"/>
  <c r="DQ12" i="14"/>
  <c r="DR12" i="14"/>
  <c r="DR13" i="14"/>
  <c r="DR15" i="14"/>
  <c r="DS15" i="14"/>
  <c r="DT15" i="14"/>
  <c r="DL14" i="14"/>
  <c r="DM16" i="14"/>
  <c r="DQ14" i="14"/>
  <c r="DR16" i="14"/>
  <c r="DT14" i="14"/>
  <c r="DL13" i="14"/>
  <c r="DL15" i="14"/>
  <c r="DM12" i="14"/>
  <c r="DQ15" i="14"/>
  <c r="DU12" i="14"/>
  <c r="DN16" i="14"/>
  <c r="DS14" i="14"/>
  <c r="DM13" i="14"/>
  <c r="DM15" i="14"/>
  <c r="DN12" i="14"/>
  <c r="DS12" i="14"/>
  <c r="DU13" i="14"/>
  <c r="DO16" i="14"/>
  <c r="DN13" i="14"/>
  <c r="DN15" i="14"/>
  <c r="DS13" i="14"/>
  <c r="DO14" i="14"/>
  <c r="DO13" i="14"/>
  <c r="DO15" i="14"/>
  <c r="DT12" i="14"/>
  <c r="DL16" i="14"/>
  <c r="DP14" i="14"/>
  <c r="DP13" i="14"/>
  <c r="DT13" i="14"/>
  <c r="DP16" i="14"/>
  <c r="DQ13" i="14"/>
  <c r="DU15" i="14"/>
  <c r="DR14" i="14"/>
  <c r="DL12" i="14"/>
  <c r="DS16" i="14"/>
  <c r="DM14" i="14"/>
  <c r="DQ16" i="14"/>
  <c r="DT16" i="14"/>
  <c r="DN14" i="14"/>
  <c r="DA28" i="14"/>
  <c r="DB28" i="14"/>
  <c r="DE28" i="14"/>
  <c r="DC28" i="14"/>
  <c r="CW28" i="14"/>
  <c r="DD28" i="14"/>
  <c r="DF28" i="14"/>
  <c r="CU28" i="14"/>
  <c r="CR28" i="14"/>
  <c r="CS28" i="14"/>
  <c r="CT28" i="14"/>
  <c r="CY28" i="14"/>
  <c r="CZ28" i="14"/>
  <c r="CV28" i="14"/>
  <c r="CX28" i="14"/>
  <c r="DJ22" i="14"/>
  <c r="DQ23" i="14"/>
  <c r="DK25" i="14"/>
  <c r="DR26" i="14"/>
  <c r="DL28" i="14"/>
  <c r="DT21" i="14"/>
  <c r="DK22" i="14"/>
  <c r="DR23" i="14"/>
  <c r="DL25" i="14"/>
  <c r="DS26" i="14"/>
  <c r="DM28" i="14"/>
  <c r="DU21" i="14"/>
  <c r="DL22" i="14"/>
  <c r="DS23" i="14"/>
  <c r="DM25" i="14"/>
  <c r="DT26" i="14"/>
  <c r="DN28" i="14"/>
  <c r="DI21" i="14"/>
  <c r="DM22" i="14"/>
  <c r="DT23" i="14"/>
  <c r="DN25" i="14"/>
  <c r="DU26" i="14"/>
  <c r="DO28" i="14"/>
  <c r="DN22" i="14"/>
  <c r="DU23" i="14"/>
  <c r="DO25" i="14"/>
  <c r="DI27" i="14"/>
  <c r="DP28" i="14"/>
  <c r="DO22" i="14"/>
  <c r="DI24" i="14"/>
  <c r="DP25" i="14"/>
  <c r="DJ27" i="14"/>
  <c r="DQ28" i="14"/>
  <c r="DP22" i="14"/>
  <c r="DJ24" i="14"/>
  <c r="DQ25" i="14"/>
  <c r="DK27" i="14"/>
  <c r="DR28" i="14"/>
  <c r="DQ22" i="14"/>
  <c r="DK24" i="14"/>
  <c r="DR25" i="14"/>
  <c r="DL27" i="14"/>
  <c r="DS28" i="14"/>
  <c r="DR22" i="14"/>
  <c r="DL24" i="14"/>
  <c r="DS25" i="14"/>
  <c r="DM27" i="14"/>
  <c r="DT28" i="14"/>
  <c r="DS22" i="14"/>
  <c r="DM24" i="14"/>
  <c r="DT25" i="14"/>
  <c r="DN27" i="14"/>
  <c r="DU28" i="14"/>
  <c r="DT22" i="14"/>
  <c r="DN24" i="14"/>
  <c r="DU25" i="14"/>
  <c r="DO27" i="14"/>
  <c r="DJ21" i="14"/>
  <c r="DU22" i="14"/>
  <c r="DO24" i="14"/>
  <c r="DI26" i="14"/>
  <c r="DP27" i="14"/>
  <c r="DK21" i="14"/>
  <c r="DI23" i="14"/>
  <c r="DP24" i="14"/>
  <c r="DJ26" i="14"/>
  <c r="DQ27" i="14"/>
  <c r="DL21" i="14"/>
  <c r="DJ23" i="14"/>
  <c r="DQ24" i="14"/>
  <c r="DK26" i="14"/>
  <c r="DR27" i="14"/>
  <c r="DM21" i="14"/>
  <c r="DK23" i="14"/>
  <c r="DR24" i="14"/>
  <c r="DL26" i="14"/>
  <c r="DS27" i="14"/>
  <c r="DN21" i="14"/>
  <c r="DL23" i="14"/>
  <c r="DS24" i="14"/>
  <c r="DM26" i="14"/>
  <c r="DT27" i="14"/>
  <c r="DO21" i="14"/>
  <c r="DM23" i="14"/>
  <c r="DT24" i="14"/>
  <c r="DI22" i="14"/>
  <c r="DN23" i="14"/>
  <c r="DO23" i="14"/>
  <c r="DP23" i="14"/>
  <c r="DU24" i="14"/>
  <c r="DI25" i="14"/>
  <c r="DJ25" i="14"/>
  <c r="DN26" i="14"/>
  <c r="DO26" i="14"/>
  <c r="DP26" i="14"/>
  <c r="DQ26" i="14"/>
  <c r="DU27" i="14"/>
  <c r="DI28" i="14"/>
  <c r="DJ28" i="14"/>
  <c r="DK28" i="14"/>
  <c r="DP21" i="14"/>
  <c r="DQ21" i="14"/>
  <c r="DR21" i="14"/>
  <c r="DS21" i="14"/>
  <c r="CR13" i="14"/>
  <c r="CW14" i="14"/>
  <c r="DB15" i="14"/>
  <c r="CR17" i="14"/>
  <c r="CW18" i="14"/>
  <c r="DB19" i="14"/>
  <c r="CR21" i="14"/>
  <c r="CW22" i="14"/>
  <c r="DB23" i="14"/>
  <c r="CS12" i="14"/>
  <c r="CT12" i="14"/>
  <c r="DE23" i="14"/>
  <c r="DA14" i="14"/>
  <c r="DA18" i="14"/>
  <c r="CV21" i="14"/>
  <c r="DA22" i="14"/>
  <c r="DF23" i="14"/>
  <c r="CW12" i="14"/>
  <c r="DB14" i="14"/>
  <c r="CW17" i="14"/>
  <c r="DB18" i="14"/>
  <c r="CR20" i="14"/>
  <c r="CW21" i="14"/>
  <c r="DB22" i="14"/>
  <c r="CR24" i="14"/>
  <c r="CX12" i="14"/>
  <c r="DC14" i="14"/>
  <c r="CX17" i="14"/>
  <c r="DC18" i="14"/>
  <c r="CS20" i="14"/>
  <c r="CX21" i="14"/>
  <c r="DC22" i="14"/>
  <c r="CY12" i="14"/>
  <c r="CY13" i="14"/>
  <c r="DD14" i="14"/>
  <c r="CY17" i="14"/>
  <c r="DD18" i="14"/>
  <c r="CT20" i="14"/>
  <c r="DD22" i="14"/>
  <c r="CT24" i="14"/>
  <c r="CZ13" i="14"/>
  <c r="DE14" i="14"/>
  <c r="CU16" i="14"/>
  <c r="CZ17" i="14"/>
  <c r="CZ21" i="14"/>
  <c r="CU24" i="14"/>
  <c r="DA12" i="14"/>
  <c r="DA16" i="14"/>
  <c r="DA20" i="14"/>
  <c r="CV23" i="14"/>
  <c r="CW15" i="14"/>
  <c r="CR18" i="14"/>
  <c r="DB20" i="14"/>
  <c r="DC16" i="14"/>
  <c r="CX19" i="14"/>
  <c r="CS22" i="14"/>
  <c r="DC24" i="14"/>
  <c r="CY15" i="14"/>
  <c r="DD16" i="14"/>
  <c r="CY19" i="14"/>
  <c r="CT22" i="14"/>
  <c r="CU14" i="14"/>
  <c r="CZ19" i="14"/>
  <c r="DA15" i="14"/>
  <c r="DF16" i="14"/>
  <c r="DA23" i="14"/>
  <c r="CS13" i="14"/>
  <c r="CX14" i="14"/>
  <c r="DC15" i="14"/>
  <c r="CS17" i="14"/>
  <c r="CX18" i="14"/>
  <c r="DC19" i="14"/>
  <c r="CS21" i="14"/>
  <c r="CX22" i="14"/>
  <c r="DC23" i="14"/>
  <c r="DF19" i="14"/>
  <c r="CX13" i="14"/>
  <c r="DE18" i="14"/>
  <c r="CR22" i="14"/>
  <c r="DF20" i="14"/>
  <c r="CT13" i="14"/>
  <c r="CY14" i="14"/>
  <c r="DD15" i="14"/>
  <c r="CT17" i="14"/>
  <c r="CY18" i="14"/>
  <c r="DD19" i="14"/>
  <c r="CT21" i="14"/>
  <c r="CY22" i="14"/>
  <c r="DD23" i="14"/>
  <c r="CU12" i="14"/>
  <c r="CV17" i="14"/>
  <c r="CS16" i="14"/>
  <c r="CY21" i="14"/>
  <c r="DE22" i="14"/>
  <c r="CR12" i="14"/>
  <c r="DB16" i="14"/>
  <c r="CY23" i="14"/>
  <c r="DE24" i="14"/>
  <c r="DA19" i="14"/>
  <c r="CU13" i="14"/>
  <c r="CZ14" i="14"/>
  <c r="DE15" i="14"/>
  <c r="CU17" i="14"/>
  <c r="CZ18" i="14"/>
  <c r="DE19" i="14"/>
  <c r="CU21" i="14"/>
  <c r="CZ22" i="14"/>
  <c r="CV12" i="14"/>
  <c r="CR16" i="14"/>
  <c r="CS24" i="14"/>
  <c r="CT16" i="14"/>
  <c r="DF17" i="14"/>
  <c r="CX15" i="14"/>
  <c r="CU22" i="14"/>
  <c r="DF24" i="14"/>
  <c r="CV13" i="14"/>
  <c r="DF15" i="14"/>
  <c r="CZ12" i="14"/>
  <c r="CU20" i="14"/>
  <c r="DB24" i="14"/>
  <c r="DC20" i="14"/>
  <c r="CU18" i="14"/>
  <c r="CW13" i="14"/>
  <c r="DA13" i="14"/>
  <c r="DF14" i="14"/>
  <c r="CV16" i="14"/>
  <c r="DA17" i="14"/>
  <c r="DF18" i="14"/>
  <c r="CV20" i="14"/>
  <c r="DA21" i="14"/>
  <c r="DF22" i="14"/>
  <c r="CV24" i="14"/>
  <c r="DB12" i="14"/>
  <c r="DB13" i="14"/>
  <c r="CR15" i="14"/>
  <c r="CW16" i="14"/>
  <c r="DB17" i="14"/>
  <c r="CR19" i="14"/>
  <c r="CW20" i="14"/>
  <c r="DB21" i="14"/>
  <c r="CR23" i="14"/>
  <c r="CW24" i="14"/>
  <c r="DC12" i="14"/>
  <c r="DC13" i="14"/>
  <c r="CS15" i="14"/>
  <c r="CX16" i="14"/>
  <c r="DC17" i="14"/>
  <c r="CS19" i="14"/>
  <c r="CX20" i="14"/>
  <c r="DC21" i="14"/>
  <c r="CS23" i="14"/>
  <c r="CX24" i="14"/>
  <c r="DD12" i="14"/>
  <c r="DD13" i="14"/>
  <c r="CT15" i="14"/>
  <c r="CY16" i="14"/>
  <c r="DD17" i="14"/>
  <c r="CT19" i="14"/>
  <c r="CY20" i="14"/>
  <c r="DD21" i="14"/>
  <c r="CT23" i="14"/>
  <c r="CY24" i="14"/>
  <c r="DE12" i="14"/>
  <c r="DE13" i="14"/>
  <c r="CU15" i="14"/>
  <c r="CZ16" i="14"/>
  <c r="DE17" i="14"/>
  <c r="CU19" i="14"/>
  <c r="CZ20" i="14"/>
  <c r="DE21" i="14"/>
  <c r="CU23" i="14"/>
  <c r="CZ24" i="14"/>
  <c r="DF12" i="14"/>
  <c r="DF13" i="14"/>
  <c r="CV15" i="14"/>
  <c r="CV19" i="14"/>
  <c r="DF21" i="14"/>
  <c r="DA24" i="14"/>
  <c r="CR14" i="14"/>
  <c r="CW19" i="14"/>
  <c r="CW23" i="14"/>
  <c r="CS14" i="14"/>
  <c r="CS18" i="14"/>
  <c r="CX23" i="14"/>
  <c r="CT14" i="14"/>
  <c r="CT18" i="14"/>
  <c r="DD20" i="14"/>
  <c r="DD24" i="14"/>
  <c r="CZ15" i="14"/>
  <c r="DE16" i="14"/>
  <c r="DE20" i="14"/>
  <c r="CZ23" i="14"/>
  <c r="CV14" i="14"/>
  <c r="CV18" i="14"/>
  <c r="CV22" i="14"/>
  <c r="D13" i="13"/>
  <c r="D5" i="13"/>
  <c r="D3" i="13"/>
  <c r="D2" i="13"/>
  <c r="D14" i="13"/>
  <c r="D11" i="13"/>
  <c r="D10" i="13"/>
  <c r="D7" i="13"/>
  <c r="D12" i="13"/>
  <c r="D6" i="13"/>
  <c r="D9" i="13"/>
  <c r="D8" i="13"/>
  <c r="D4" i="13"/>
  <c r="E3" i="13"/>
  <c r="E2" i="13"/>
  <c r="E14" i="13"/>
  <c r="E13" i="13"/>
  <c r="E12" i="13"/>
  <c r="E11" i="13"/>
  <c r="E9" i="13"/>
  <c r="E8" i="13"/>
  <c r="E7" i="13"/>
  <c r="E6" i="13"/>
  <c r="E5" i="13"/>
  <c r="E10" i="13"/>
  <c r="E4" i="13"/>
  <c r="B2" i="13"/>
  <c r="B3" i="13"/>
  <c r="B4" i="13"/>
  <c r="B12" i="13"/>
  <c r="B14" i="13"/>
  <c r="B13" i="13"/>
  <c r="B11" i="13"/>
  <c r="B10" i="13"/>
  <c r="B9" i="13"/>
  <c r="B8" i="13"/>
  <c r="B7" i="13"/>
  <c r="B6" i="13"/>
  <c r="B5" i="13"/>
  <c r="AV1" i="13"/>
  <c r="AU1" i="13"/>
  <c r="AR4" i="1"/>
  <c r="L7" i="8" a="1"/>
  <c r="L7" i="8" s="1"/>
  <c r="D3" i="7" s="1"/>
  <c r="O7" i="8" a="1"/>
  <c r="O7" i="8" s="1"/>
  <c r="L4" i="8" a="1"/>
  <c r="L4" i="8" s="1"/>
  <c r="M4" i="8" s="1"/>
  <c r="L9" i="8" a="1"/>
  <c r="L9" i="8" s="1"/>
  <c r="D5" i="7" s="1"/>
  <c r="L6" i="8" a="1"/>
  <c r="L6" i="8" s="1"/>
  <c r="C6" i="7" s="1"/>
  <c r="L8" i="8" a="1"/>
  <c r="L8" i="8" s="1"/>
  <c r="D4" i="7" s="1"/>
  <c r="L3" i="8" a="1"/>
  <c r="L3" i="8" s="1"/>
  <c r="C3" i="7" s="1"/>
  <c r="O3" i="8" a="1"/>
  <c r="C10" i="8"/>
  <c r="L10" i="8" a="1"/>
  <c r="L10" i="8" s="1"/>
  <c r="L5" i="8" a="1"/>
  <c r="L5" i="8" s="1"/>
  <c r="C3" i="8"/>
  <c r="V35" i="10"/>
  <c r="V33" i="10"/>
  <c r="V31" i="10"/>
  <c r="V29" i="10"/>
  <c r="V27" i="10"/>
  <c r="V25" i="10"/>
  <c r="V23" i="10"/>
  <c r="V21" i="10"/>
  <c r="V19" i="10"/>
  <c r="V17" i="10"/>
  <c r="V15" i="10"/>
  <c r="V13" i="10"/>
  <c r="V11" i="10"/>
  <c r="V9" i="10"/>
  <c r="V7" i="10"/>
  <c r="V5" i="10"/>
  <c r="AA4" i="8"/>
  <c r="V4" i="8" s="1"/>
  <c r="AA5" i="8"/>
  <c r="V5" i="8" s="1"/>
  <c r="AA6" i="8"/>
  <c r="AA7" i="8"/>
  <c r="AA8" i="8"/>
  <c r="AA9" i="8"/>
  <c r="V9" i="8" s="1"/>
  <c r="AA10" i="8"/>
  <c r="V10" i="8" s="1"/>
  <c r="AA11" i="8"/>
  <c r="V11" i="8" s="1"/>
  <c r="W11" i="8" s="1"/>
  <c r="AA12" i="8"/>
  <c r="V12" i="8" s="1"/>
  <c r="W12" i="8" s="1"/>
  <c r="AA13" i="8"/>
  <c r="V13" i="8" s="1"/>
  <c r="AA14" i="8"/>
  <c r="V14" i="8" s="1"/>
  <c r="W14" i="8" s="1"/>
  <c r="AA15" i="8"/>
  <c r="V15" i="8" s="1"/>
  <c r="Z15" i="8" s="1"/>
  <c r="AA16" i="8"/>
  <c r="V16" i="8" s="1"/>
  <c r="Z16" i="8" s="1"/>
  <c r="AA17" i="8"/>
  <c r="V17" i="8" s="1"/>
  <c r="X17" i="8" s="1"/>
  <c r="AA18" i="8"/>
  <c r="V18" i="8" s="1"/>
  <c r="Y18" i="8" s="1"/>
  <c r="AA3" i="8"/>
  <c r="V3" i="8" s="1"/>
  <c r="B4" i="8"/>
  <c r="B3" i="8"/>
  <c r="BC4" i="1"/>
  <c r="BC5" i="1"/>
  <c r="BC6" i="1"/>
  <c r="BC7" i="1"/>
  <c r="BC8" i="1"/>
  <c r="BC9" i="1"/>
  <c r="BC10" i="1"/>
  <c r="BC11" i="1"/>
  <c r="BC12" i="1"/>
  <c r="BC13" i="1"/>
  <c r="BC14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3" i="1"/>
  <c r="BB3" i="1"/>
  <c r="BB4" i="1"/>
  <c r="BB5" i="1"/>
  <c r="BB6" i="1"/>
  <c r="BB7" i="1"/>
  <c r="BB8" i="1"/>
  <c r="BB9" i="1"/>
  <c r="BB10" i="1"/>
  <c r="BB11" i="1"/>
  <c r="BB12" i="1"/>
  <c r="BB13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AI12" i="8"/>
  <c r="AI13" i="8"/>
  <c r="AI14" i="8"/>
  <c r="AI15" i="8"/>
  <c r="AI4" i="8"/>
  <c r="AI5" i="8"/>
  <c r="AI6" i="8"/>
  <c r="AI7" i="8"/>
  <c r="AI8" i="8"/>
  <c r="AI9" i="8"/>
  <c r="AI10" i="8"/>
  <c r="AI11" i="8"/>
  <c r="AI3" i="8"/>
  <c r="G3" i="7"/>
  <c r="AS2" i="1"/>
  <c r="AR2" i="1"/>
  <c r="H1" i="1"/>
  <c r="M34" i="10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" i="9"/>
  <c r="C4" i="9"/>
  <c r="D4" i="9"/>
  <c r="E4" i="9"/>
  <c r="F4" i="9"/>
  <c r="G4" i="9"/>
  <c r="H4" i="9"/>
  <c r="C5" i="9"/>
  <c r="D5" i="9"/>
  <c r="E5" i="9"/>
  <c r="F5" i="9"/>
  <c r="G5" i="9"/>
  <c r="H5" i="9"/>
  <c r="C6" i="9"/>
  <c r="D6" i="9"/>
  <c r="E6" i="9"/>
  <c r="F6" i="9"/>
  <c r="G6" i="9"/>
  <c r="H6" i="9"/>
  <c r="C7" i="9"/>
  <c r="D7" i="9"/>
  <c r="E7" i="9"/>
  <c r="F7" i="9"/>
  <c r="G7" i="9"/>
  <c r="H7" i="9"/>
  <c r="C8" i="9"/>
  <c r="D8" i="9"/>
  <c r="E8" i="9"/>
  <c r="F8" i="9"/>
  <c r="G8" i="9"/>
  <c r="H8" i="9"/>
  <c r="C9" i="9"/>
  <c r="D9" i="9"/>
  <c r="E9" i="9"/>
  <c r="F9" i="9"/>
  <c r="G9" i="9"/>
  <c r="H9" i="9"/>
  <c r="C10" i="9"/>
  <c r="D10" i="9"/>
  <c r="E10" i="9"/>
  <c r="F10" i="9"/>
  <c r="G10" i="9"/>
  <c r="H10" i="9"/>
  <c r="C11" i="9"/>
  <c r="D11" i="9"/>
  <c r="E11" i="9"/>
  <c r="F11" i="9"/>
  <c r="G11" i="9"/>
  <c r="H11" i="9"/>
  <c r="C12" i="9"/>
  <c r="D12" i="9"/>
  <c r="E12" i="9"/>
  <c r="F12" i="9"/>
  <c r="G12" i="9"/>
  <c r="H12" i="9"/>
  <c r="C13" i="9"/>
  <c r="D13" i="9"/>
  <c r="E13" i="9"/>
  <c r="F13" i="9"/>
  <c r="G13" i="9"/>
  <c r="H13" i="9"/>
  <c r="C14" i="9"/>
  <c r="D14" i="9"/>
  <c r="E14" i="9"/>
  <c r="F14" i="9"/>
  <c r="G14" i="9"/>
  <c r="H14" i="9"/>
  <c r="C15" i="9"/>
  <c r="D15" i="9"/>
  <c r="E15" i="9"/>
  <c r="F15" i="9"/>
  <c r="G15" i="9"/>
  <c r="H15" i="9"/>
  <c r="C16" i="9"/>
  <c r="D16" i="9"/>
  <c r="E16" i="9"/>
  <c r="F16" i="9"/>
  <c r="G16" i="9"/>
  <c r="H16" i="9"/>
  <c r="C17" i="9"/>
  <c r="D17" i="9"/>
  <c r="E17" i="9"/>
  <c r="F17" i="9"/>
  <c r="G17" i="9"/>
  <c r="H17" i="9"/>
  <c r="C18" i="9"/>
  <c r="D18" i="9"/>
  <c r="E18" i="9"/>
  <c r="F18" i="9"/>
  <c r="G18" i="9"/>
  <c r="H18" i="9"/>
  <c r="C19" i="9"/>
  <c r="D19" i="9"/>
  <c r="E19" i="9"/>
  <c r="F19" i="9"/>
  <c r="G19" i="9"/>
  <c r="H19" i="9"/>
  <c r="C20" i="9"/>
  <c r="D20" i="9"/>
  <c r="E20" i="9"/>
  <c r="F20" i="9"/>
  <c r="G20" i="9"/>
  <c r="H20" i="9"/>
  <c r="C21" i="9"/>
  <c r="D21" i="9"/>
  <c r="E21" i="9"/>
  <c r="F21" i="9"/>
  <c r="G21" i="9"/>
  <c r="H21" i="9"/>
  <c r="D3" i="9"/>
  <c r="E3" i="9"/>
  <c r="F3" i="9"/>
  <c r="G3" i="9"/>
  <c r="H3" i="9"/>
  <c r="C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BR18" i="9"/>
  <c r="BS18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BR19" i="9"/>
  <c r="BS19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BR20" i="9"/>
  <c r="BS20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BR21" i="9"/>
  <c r="BS21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AO22" i="9"/>
  <c r="AP22" i="9"/>
  <c r="AQ22" i="9"/>
  <c r="AR22" i="9"/>
  <c r="AS22" i="9"/>
  <c r="AT22" i="9"/>
  <c r="AU22" i="9"/>
  <c r="AV22" i="9"/>
  <c r="AW22" i="9"/>
  <c r="AX22" i="9"/>
  <c r="AY22" i="9"/>
  <c r="AZ22" i="9"/>
  <c r="BA22" i="9"/>
  <c r="BB22" i="9"/>
  <c r="BC22" i="9"/>
  <c r="BD22" i="9"/>
  <c r="BE22" i="9"/>
  <c r="BF22" i="9"/>
  <c r="BG22" i="9"/>
  <c r="BH22" i="9"/>
  <c r="BI22" i="9"/>
  <c r="BJ22" i="9"/>
  <c r="BK22" i="9"/>
  <c r="BL22" i="9"/>
  <c r="BM22" i="9"/>
  <c r="BN22" i="9"/>
  <c r="BO22" i="9"/>
  <c r="BP22" i="9"/>
  <c r="BQ22" i="9"/>
  <c r="BR22" i="9"/>
  <c r="BS22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AM23" i="9"/>
  <c r="AN23" i="9"/>
  <c r="AO23" i="9"/>
  <c r="AP23" i="9"/>
  <c r="AQ23" i="9"/>
  <c r="AR23" i="9"/>
  <c r="AS23" i="9"/>
  <c r="AT23" i="9"/>
  <c r="AU23" i="9"/>
  <c r="AV23" i="9"/>
  <c r="AW23" i="9"/>
  <c r="AX23" i="9"/>
  <c r="AY23" i="9"/>
  <c r="AZ23" i="9"/>
  <c r="BA23" i="9"/>
  <c r="BB23" i="9"/>
  <c r="BC23" i="9"/>
  <c r="BD23" i="9"/>
  <c r="BE23" i="9"/>
  <c r="BF23" i="9"/>
  <c r="BG23" i="9"/>
  <c r="BH23" i="9"/>
  <c r="BI23" i="9"/>
  <c r="BJ23" i="9"/>
  <c r="BK23" i="9"/>
  <c r="BL23" i="9"/>
  <c r="BM23" i="9"/>
  <c r="BN23" i="9"/>
  <c r="BO23" i="9"/>
  <c r="BP23" i="9"/>
  <c r="BQ23" i="9"/>
  <c r="BR23" i="9"/>
  <c r="BS23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AM24" i="9"/>
  <c r="AN24" i="9"/>
  <c r="AO24" i="9"/>
  <c r="AP24" i="9"/>
  <c r="AQ24" i="9"/>
  <c r="AR24" i="9"/>
  <c r="AS24" i="9"/>
  <c r="AT24" i="9"/>
  <c r="AU24" i="9"/>
  <c r="AV24" i="9"/>
  <c r="AW24" i="9"/>
  <c r="AX24" i="9"/>
  <c r="AY24" i="9"/>
  <c r="AZ24" i="9"/>
  <c r="BA24" i="9"/>
  <c r="BB24" i="9"/>
  <c r="BC24" i="9"/>
  <c r="BD24" i="9"/>
  <c r="BE24" i="9"/>
  <c r="BF24" i="9"/>
  <c r="BG24" i="9"/>
  <c r="BH24" i="9"/>
  <c r="BI24" i="9"/>
  <c r="BJ24" i="9"/>
  <c r="BK24" i="9"/>
  <c r="BL24" i="9"/>
  <c r="BM24" i="9"/>
  <c r="BN24" i="9"/>
  <c r="BO24" i="9"/>
  <c r="BP24" i="9"/>
  <c r="BQ24" i="9"/>
  <c r="BR24" i="9"/>
  <c r="BS24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E25" i="9"/>
  <c r="AF25" i="9"/>
  <c r="AG25" i="9"/>
  <c r="AH25" i="9"/>
  <c r="AI25" i="9"/>
  <c r="AJ25" i="9"/>
  <c r="AK25" i="9"/>
  <c r="AL25" i="9"/>
  <c r="AM25" i="9"/>
  <c r="AN25" i="9"/>
  <c r="AO25" i="9"/>
  <c r="AP25" i="9"/>
  <c r="AQ25" i="9"/>
  <c r="AR25" i="9"/>
  <c r="AS25" i="9"/>
  <c r="AT25" i="9"/>
  <c r="AU25" i="9"/>
  <c r="AV25" i="9"/>
  <c r="AW25" i="9"/>
  <c r="AX25" i="9"/>
  <c r="AY25" i="9"/>
  <c r="AZ25" i="9"/>
  <c r="BA25" i="9"/>
  <c r="BB25" i="9"/>
  <c r="BC25" i="9"/>
  <c r="BD25" i="9"/>
  <c r="BE25" i="9"/>
  <c r="BF25" i="9"/>
  <c r="BG25" i="9"/>
  <c r="BH25" i="9"/>
  <c r="BI25" i="9"/>
  <c r="BJ25" i="9"/>
  <c r="BK25" i="9"/>
  <c r="BL25" i="9"/>
  <c r="BM25" i="9"/>
  <c r="BN25" i="9"/>
  <c r="BO25" i="9"/>
  <c r="BP25" i="9"/>
  <c r="BQ25" i="9"/>
  <c r="BR25" i="9"/>
  <c r="BS25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E26" i="9"/>
  <c r="AF26" i="9"/>
  <c r="AG26" i="9"/>
  <c r="AH26" i="9"/>
  <c r="AI26" i="9"/>
  <c r="AJ26" i="9"/>
  <c r="AK26" i="9"/>
  <c r="AL26" i="9"/>
  <c r="AM26" i="9"/>
  <c r="AN26" i="9"/>
  <c r="AO26" i="9"/>
  <c r="AP26" i="9"/>
  <c r="AQ26" i="9"/>
  <c r="AR26" i="9"/>
  <c r="AS26" i="9"/>
  <c r="AT26" i="9"/>
  <c r="AU26" i="9"/>
  <c r="AV26" i="9"/>
  <c r="AW26" i="9"/>
  <c r="AX26" i="9"/>
  <c r="AY26" i="9"/>
  <c r="AZ26" i="9"/>
  <c r="BA26" i="9"/>
  <c r="BB26" i="9"/>
  <c r="BC26" i="9"/>
  <c r="BD26" i="9"/>
  <c r="BE26" i="9"/>
  <c r="BF26" i="9"/>
  <c r="BG26" i="9"/>
  <c r="BH26" i="9"/>
  <c r="BI26" i="9"/>
  <c r="BJ26" i="9"/>
  <c r="BK26" i="9"/>
  <c r="BL26" i="9"/>
  <c r="BM26" i="9"/>
  <c r="BN26" i="9"/>
  <c r="BO26" i="9"/>
  <c r="BP26" i="9"/>
  <c r="BQ26" i="9"/>
  <c r="BR26" i="9"/>
  <c r="BS26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AJ27" i="9"/>
  <c r="AK27" i="9"/>
  <c r="AL27" i="9"/>
  <c r="AM27" i="9"/>
  <c r="AN27" i="9"/>
  <c r="AO27" i="9"/>
  <c r="AP27" i="9"/>
  <c r="AQ27" i="9"/>
  <c r="AR27" i="9"/>
  <c r="AS27" i="9"/>
  <c r="AT27" i="9"/>
  <c r="AU27" i="9"/>
  <c r="AV27" i="9"/>
  <c r="AW27" i="9"/>
  <c r="AX27" i="9"/>
  <c r="AY27" i="9"/>
  <c r="AZ27" i="9"/>
  <c r="BA27" i="9"/>
  <c r="BB27" i="9"/>
  <c r="BC27" i="9"/>
  <c r="BD27" i="9"/>
  <c r="BE27" i="9"/>
  <c r="BF27" i="9"/>
  <c r="BG27" i="9"/>
  <c r="BH27" i="9"/>
  <c r="BI27" i="9"/>
  <c r="BJ27" i="9"/>
  <c r="BK27" i="9"/>
  <c r="BL27" i="9"/>
  <c r="BM27" i="9"/>
  <c r="BN27" i="9"/>
  <c r="BO27" i="9"/>
  <c r="BP27" i="9"/>
  <c r="BQ27" i="9"/>
  <c r="BR27" i="9"/>
  <c r="BS27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Q28" i="9"/>
  <c r="AR28" i="9"/>
  <c r="AS28" i="9"/>
  <c r="AT28" i="9"/>
  <c r="AU28" i="9"/>
  <c r="AV28" i="9"/>
  <c r="AW28" i="9"/>
  <c r="AX28" i="9"/>
  <c r="AY28" i="9"/>
  <c r="AZ28" i="9"/>
  <c r="BA28" i="9"/>
  <c r="BB28" i="9"/>
  <c r="BC28" i="9"/>
  <c r="BD28" i="9"/>
  <c r="BE28" i="9"/>
  <c r="BF28" i="9"/>
  <c r="BG28" i="9"/>
  <c r="BH28" i="9"/>
  <c r="BI28" i="9"/>
  <c r="BJ28" i="9"/>
  <c r="BK28" i="9"/>
  <c r="BL28" i="9"/>
  <c r="BM28" i="9"/>
  <c r="BN28" i="9"/>
  <c r="BO28" i="9"/>
  <c r="BP28" i="9"/>
  <c r="BQ28" i="9"/>
  <c r="BR28" i="9"/>
  <c r="BS28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E29" i="9"/>
  <c r="AF29" i="9"/>
  <c r="AG29" i="9"/>
  <c r="AH29" i="9"/>
  <c r="AI29" i="9"/>
  <c r="AJ29" i="9"/>
  <c r="AK29" i="9"/>
  <c r="AL29" i="9"/>
  <c r="AM29" i="9"/>
  <c r="AN29" i="9"/>
  <c r="AO29" i="9"/>
  <c r="AP29" i="9"/>
  <c r="AQ29" i="9"/>
  <c r="AR29" i="9"/>
  <c r="AS29" i="9"/>
  <c r="AT29" i="9"/>
  <c r="AU29" i="9"/>
  <c r="AV29" i="9"/>
  <c r="AW29" i="9"/>
  <c r="AX29" i="9"/>
  <c r="AY29" i="9"/>
  <c r="AZ29" i="9"/>
  <c r="BA29" i="9"/>
  <c r="BB29" i="9"/>
  <c r="BC29" i="9"/>
  <c r="BD29" i="9"/>
  <c r="BE29" i="9"/>
  <c r="BF29" i="9"/>
  <c r="BG29" i="9"/>
  <c r="BH29" i="9"/>
  <c r="BI29" i="9"/>
  <c r="BJ29" i="9"/>
  <c r="BK29" i="9"/>
  <c r="BL29" i="9"/>
  <c r="BM29" i="9"/>
  <c r="BN29" i="9"/>
  <c r="BO29" i="9"/>
  <c r="BP29" i="9"/>
  <c r="BQ29" i="9"/>
  <c r="BR29" i="9"/>
  <c r="BS29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AM30" i="9"/>
  <c r="AN30" i="9"/>
  <c r="AO30" i="9"/>
  <c r="AP30" i="9"/>
  <c r="AQ30" i="9"/>
  <c r="AR30" i="9"/>
  <c r="AS30" i="9"/>
  <c r="AT30" i="9"/>
  <c r="AU30" i="9"/>
  <c r="AV30" i="9"/>
  <c r="AW30" i="9"/>
  <c r="AX30" i="9"/>
  <c r="AY30" i="9"/>
  <c r="AZ30" i="9"/>
  <c r="BA30" i="9"/>
  <c r="BB30" i="9"/>
  <c r="BC30" i="9"/>
  <c r="BD30" i="9"/>
  <c r="BE30" i="9"/>
  <c r="BF30" i="9"/>
  <c r="BG30" i="9"/>
  <c r="BH30" i="9"/>
  <c r="BI30" i="9"/>
  <c r="BJ30" i="9"/>
  <c r="BK30" i="9"/>
  <c r="BL30" i="9"/>
  <c r="BM30" i="9"/>
  <c r="BN30" i="9"/>
  <c r="BO30" i="9"/>
  <c r="BP30" i="9"/>
  <c r="BQ30" i="9"/>
  <c r="BR30" i="9"/>
  <c r="BS30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E31" i="9"/>
  <c r="AF31" i="9"/>
  <c r="AG31" i="9"/>
  <c r="AH31" i="9"/>
  <c r="AI31" i="9"/>
  <c r="AJ31" i="9"/>
  <c r="AK31" i="9"/>
  <c r="AL31" i="9"/>
  <c r="AM31" i="9"/>
  <c r="AN31" i="9"/>
  <c r="AO31" i="9"/>
  <c r="AP31" i="9"/>
  <c r="AQ31" i="9"/>
  <c r="AR31" i="9"/>
  <c r="AS31" i="9"/>
  <c r="AT31" i="9"/>
  <c r="AU31" i="9"/>
  <c r="AV31" i="9"/>
  <c r="AW31" i="9"/>
  <c r="AX31" i="9"/>
  <c r="AY31" i="9"/>
  <c r="AZ31" i="9"/>
  <c r="BA31" i="9"/>
  <c r="BB31" i="9"/>
  <c r="BC31" i="9"/>
  <c r="BD31" i="9"/>
  <c r="BE31" i="9"/>
  <c r="BF31" i="9"/>
  <c r="BG31" i="9"/>
  <c r="BH31" i="9"/>
  <c r="BI31" i="9"/>
  <c r="BJ31" i="9"/>
  <c r="BK31" i="9"/>
  <c r="BL31" i="9"/>
  <c r="BM31" i="9"/>
  <c r="BN31" i="9"/>
  <c r="BO31" i="9"/>
  <c r="BP31" i="9"/>
  <c r="BQ31" i="9"/>
  <c r="BR31" i="9"/>
  <c r="BS31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" i="9"/>
  <c r="K4" i="7"/>
  <c r="L4" i="7"/>
  <c r="M4" i="7"/>
  <c r="N4" i="7"/>
  <c r="O4" i="7"/>
  <c r="P4" i="7"/>
  <c r="Q4" i="7"/>
  <c r="R4" i="7"/>
  <c r="S4" i="7"/>
  <c r="T4" i="7"/>
  <c r="U4" i="7"/>
  <c r="V4" i="7"/>
  <c r="W4" i="7"/>
  <c r="K5" i="7"/>
  <c r="L5" i="7"/>
  <c r="M5" i="7"/>
  <c r="N5" i="7"/>
  <c r="O5" i="7"/>
  <c r="P5" i="7"/>
  <c r="Q5" i="7"/>
  <c r="R5" i="7"/>
  <c r="S5" i="7"/>
  <c r="T5" i="7"/>
  <c r="U5" i="7"/>
  <c r="V5" i="7"/>
  <c r="W5" i="7"/>
  <c r="K6" i="7"/>
  <c r="L6" i="7"/>
  <c r="M6" i="7"/>
  <c r="N6" i="7"/>
  <c r="O6" i="7"/>
  <c r="P6" i="7"/>
  <c r="Q6" i="7"/>
  <c r="R6" i="7"/>
  <c r="S6" i="7"/>
  <c r="T6" i="7"/>
  <c r="U6" i="7"/>
  <c r="V6" i="7"/>
  <c r="W6" i="7"/>
  <c r="K7" i="7"/>
  <c r="L7" i="7"/>
  <c r="M7" i="7"/>
  <c r="N7" i="7"/>
  <c r="O7" i="7"/>
  <c r="P7" i="7"/>
  <c r="Q7" i="7"/>
  <c r="R7" i="7"/>
  <c r="S7" i="7"/>
  <c r="T7" i="7"/>
  <c r="U7" i="7"/>
  <c r="V7" i="7"/>
  <c r="W7" i="7"/>
  <c r="K8" i="7"/>
  <c r="L8" i="7"/>
  <c r="M8" i="7"/>
  <c r="N8" i="7"/>
  <c r="O8" i="7"/>
  <c r="P8" i="7"/>
  <c r="Q8" i="7"/>
  <c r="R8" i="7"/>
  <c r="S8" i="7"/>
  <c r="T8" i="7"/>
  <c r="U8" i="7"/>
  <c r="V8" i="7"/>
  <c r="W8" i="7"/>
  <c r="K9" i="7"/>
  <c r="L9" i="7"/>
  <c r="M9" i="7"/>
  <c r="N9" i="7"/>
  <c r="O9" i="7"/>
  <c r="P9" i="7"/>
  <c r="Q9" i="7"/>
  <c r="R9" i="7"/>
  <c r="S9" i="7"/>
  <c r="T9" i="7"/>
  <c r="U9" i="7"/>
  <c r="V9" i="7"/>
  <c r="W9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L3" i="7"/>
  <c r="M3" i="7"/>
  <c r="N3" i="7"/>
  <c r="O3" i="7"/>
  <c r="P3" i="7"/>
  <c r="Q3" i="7"/>
  <c r="R3" i="7"/>
  <c r="S3" i="7"/>
  <c r="T3" i="7"/>
  <c r="U3" i="7"/>
  <c r="V3" i="7"/>
  <c r="W3" i="7"/>
  <c r="K3" i="7"/>
  <c r="C2" i="1" a="1"/>
  <c r="C2" i="1" s="1"/>
  <c r="D2" i="1" s="1"/>
  <c r="L12" i="10" l="1"/>
  <c r="L12" i="14"/>
  <c r="L19" i="10"/>
  <c r="L19" i="14"/>
  <c r="L5" i="14"/>
  <c r="G5" i="10"/>
  <c r="G5" i="14"/>
  <c r="G26" i="10"/>
  <c r="G26" i="14"/>
  <c r="X5" i="14"/>
  <c r="BH33" i="14"/>
  <c r="CL29" i="14"/>
  <c r="BC27" i="14"/>
  <c r="CG23" i="14"/>
  <c r="AX21" i="14"/>
  <c r="CB17" i="14"/>
  <c r="AS15" i="14"/>
  <c r="BW11" i="14"/>
  <c r="AN9" i="14"/>
  <c r="BW17" i="14"/>
  <c r="AS27" i="14"/>
  <c r="CB11" i="14"/>
  <c r="BR17" i="14"/>
  <c r="AI27" i="14"/>
  <c r="CB7" i="14"/>
  <c r="CL25" i="14"/>
  <c r="AN11" i="14"/>
  <c r="BR13" i="14"/>
  <c r="AX15" i="14"/>
  <c r="AD5" i="14"/>
  <c r="AS21" i="14"/>
  <c r="BM11" i="14"/>
  <c r="CG5" i="14"/>
  <c r="AI21" i="14"/>
  <c r="CL13" i="14"/>
  <c r="BH23" i="14"/>
  <c r="BC23" i="14"/>
  <c r="AX23" i="14"/>
  <c r="CB25" i="14"/>
  <c r="BC5" i="14"/>
  <c r="CB31" i="14"/>
  <c r="AS29" i="14"/>
  <c r="BW25" i="14"/>
  <c r="AN23" i="14"/>
  <c r="BR19" i="14"/>
  <c r="AI17" i="14"/>
  <c r="BM13" i="14"/>
  <c r="AD11" i="14"/>
  <c r="BH7" i="14"/>
  <c r="CL23" i="14"/>
  <c r="BR11" i="14"/>
  <c r="AN21" i="14"/>
  <c r="BM17" i="14"/>
  <c r="BW7" i="14"/>
  <c r="CL31" i="14"/>
  <c r="BW13" i="14"/>
  <c r="BW31" i="14"/>
  <c r="CB29" i="14"/>
  <c r="AN33" i="14"/>
  <c r="AD33" i="14"/>
  <c r="BR25" i="14"/>
  <c r="AD23" i="14"/>
  <c r="CL15" i="10"/>
  <c r="CL15" i="14"/>
  <c r="BC13" i="14"/>
  <c r="CG9" i="14"/>
  <c r="AX7" i="14"/>
  <c r="CG17" i="14"/>
  <c r="CL5" i="14"/>
  <c r="BW5" i="14"/>
  <c r="BH29" i="14"/>
  <c r="AN29" i="14"/>
  <c r="BH25" i="14"/>
  <c r="CG15" i="14"/>
  <c r="CB9" i="14"/>
  <c r="AS7" i="14"/>
  <c r="BC21" i="14"/>
  <c r="AD15" i="14"/>
  <c r="CG7" i="14"/>
  <c r="AI33" i="14"/>
  <c r="CG13" i="14"/>
  <c r="BR5" i="14"/>
  <c r="AS11" i="14"/>
  <c r="AS17" i="14"/>
  <c r="BH5" i="14"/>
  <c r="AN17" i="14"/>
  <c r="AI23" i="14"/>
  <c r="BR31" i="14"/>
  <c r="AN5" i="14"/>
  <c r="BC19" i="14"/>
  <c r="AX13" i="14"/>
  <c r="AI5" i="14"/>
  <c r="BH31" i="14"/>
  <c r="CL27" i="14"/>
  <c r="BC25" i="14"/>
  <c r="CG21" i="14"/>
  <c r="AX19" i="14"/>
  <c r="CB15" i="14"/>
  <c r="AS13" i="14"/>
  <c r="BW9" i="14"/>
  <c r="AN7" i="14"/>
  <c r="BM23" i="14"/>
  <c r="AD17" i="14"/>
  <c r="AI29" i="14"/>
  <c r="BC31" i="14"/>
  <c r="AX25" i="14"/>
  <c r="CB21" i="14"/>
  <c r="BW15" i="14"/>
  <c r="AI7" i="14"/>
  <c r="BM33" i="14"/>
  <c r="AN15" i="14"/>
  <c r="BW23" i="14"/>
  <c r="AS33" i="14"/>
  <c r="CL7" i="14"/>
  <c r="BH17" i="14"/>
  <c r="AD27" i="14"/>
  <c r="AX11" i="10"/>
  <c r="AX11" i="14"/>
  <c r="CB13" i="14"/>
  <c r="BM5" i="14"/>
  <c r="CB19" i="14"/>
  <c r="AS23" i="14"/>
  <c r="BM7" i="14"/>
  <c r="AX5" i="14"/>
  <c r="CL9" i="14"/>
  <c r="BH19" i="14"/>
  <c r="CL33" i="14"/>
  <c r="CG27" i="14"/>
  <c r="AS19" i="14"/>
  <c r="AN13" i="10"/>
  <c r="AN13" i="14"/>
  <c r="BR9" i="10"/>
  <c r="BR9" i="14"/>
  <c r="CG33" i="14"/>
  <c r="AX31" i="14"/>
  <c r="CB27" i="14"/>
  <c r="AS25" i="14"/>
  <c r="BW21" i="14"/>
  <c r="AN19" i="14"/>
  <c r="BR15" i="14"/>
  <c r="AI13" i="14"/>
  <c r="BM9" i="14"/>
  <c r="AD7" i="14"/>
  <c r="AX27" i="14"/>
  <c r="AX33" i="14"/>
  <c r="BR23" i="14"/>
  <c r="AD21" i="14"/>
  <c r="BH13" i="14"/>
  <c r="CL21" i="14"/>
  <c r="AS31" i="14"/>
  <c r="AI19" i="14"/>
  <c r="AD13" i="14"/>
  <c r="AD31" i="14"/>
  <c r="AS9" i="14"/>
  <c r="CG29" i="14"/>
  <c r="AI9" i="14"/>
  <c r="AD9" i="14"/>
  <c r="AN27" i="14"/>
  <c r="CB5" i="14"/>
  <c r="BM29" i="14"/>
  <c r="CL19" i="14"/>
  <c r="AX17" i="14"/>
  <c r="BC29" i="14"/>
  <c r="BR7" i="14"/>
  <c r="AX29" i="14"/>
  <c r="AI11" i="14"/>
  <c r="BC7" i="14"/>
  <c r="BM25" i="14"/>
  <c r="BM31" i="14"/>
  <c r="CB33" i="14"/>
  <c r="BW27" i="14"/>
  <c r="BR21" i="14"/>
  <c r="BM15" i="14"/>
  <c r="BH9" i="14"/>
  <c r="BW33" i="14"/>
  <c r="AN31" i="14"/>
  <c r="BR27" i="14"/>
  <c r="AI25" i="14"/>
  <c r="BM21" i="14"/>
  <c r="AD19" i="14"/>
  <c r="BH15" i="14"/>
  <c r="CL11" i="14"/>
  <c r="BC9" i="14"/>
  <c r="BH27" i="14"/>
  <c r="BC33" i="14"/>
  <c r="CB23" i="14"/>
  <c r="AI15" i="14"/>
  <c r="BW29" i="14"/>
  <c r="BH11" i="14"/>
  <c r="BR29" i="14"/>
  <c r="BC11" i="14"/>
  <c r="BC17" i="14"/>
  <c r="CG19" i="14"/>
  <c r="CG25" i="14"/>
  <c r="CG31" i="14"/>
  <c r="BW19" i="14"/>
  <c r="BM19" i="14"/>
  <c r="AS5" i="14"/>
  <c r="AD29" i="10"/>
  <c r="AD29" i="14"/>
  <c r="AN25" i="14"/>
  <c r="BR33" i="14"/>
  <c r="AI31" i="14"/>
  <c r="BM27" i="14"/>
  <c r="AD25" i="14"/>
  <c r="BH21" i="14"/>
  <c r="CL17" i="14"/>
  <c r="BC15" i="14"/>
  <c r="CG11" i="14"/>
  <c r="AX9" i="14"/>
  <c r="B19" i="8"/>
  <c r="O3" i="8"/>
  <c r="D13" i="8" s="1"/>
  <c r="C4" i="7"/>
  <c r="M3" i="8"/>
  <c r="M8" i="8"/>
  <c r="M9" i="8"/>
  <c r="M6" i="8"/>
  <c r="M7" i="8"/>
  <c r="L5" i="10"/>
  <c r="AJ14" i="8" a="1"/>
  <c r="AJ14" i="8" s="1"/>
  <c r="AK14" i="8" s="1"/>
  <c r="AN14" i="8"/>
  <c r="AJ13" i="8" a="1"/>
  <c r="AJ13" i="8" s="1"/>
  <c r="AK13" i="8" s="1"/>
  <c r="AN13" i="8"/>
  <c r="AJ11" i="8" a="1"/>
  <c r="AJ11" i="8" s="1"/>
  <c r="AL11" i="8" s="1"/>
  <c r="AN11" i="8"/>
  <c r="AJ3" i="8" a="1"/>
  <c r="AJ3" i="8" s="1"/>
  <c r="AL3" i="8" s="1"/>
  <c r="AN3" i="8"/>
  <c r="AJ10" i="8" a="1"/>
  <c r="AJ10" i="8" s="1"/>
  <c r="AK10" i="8" s="1"/>
  <c r="AN10" i="8"/>
  <c r="AJ9" i="8" a="1"/>
  <c r="AJ9" i="8" s="1"/>
  <c r="AL9" i="8" s="1"/>
  <c r="AN9" i="8"/>
  <c r="AJ12" i="8" a="1"/>
  <c r="AJ12" i="8" s="1"/>
  <c r="AL12" i="8" s="1"/>
  <c r="AN12" i="8"/>
  <c r="AJ8" i="8" a="1"/>
  <c r="AJ8" i="8" s="1"/>
  <c r="AN8" i="8"/>
  <c r="AJ7" i="8" a="1"/>
  <c r="AJ7" i="8" s="1"/>
  <c r="AK7" i="8" s="1"/>
  <c r="AN7" i="8"/>
  <c r="AJ6" i="8" a="1"/>
  <c r="AJ6" i="8" s="1"/>
  <c r="AL6" i="8" s="1"/>
  <c r="AN6" i="8"/>
  <c r="AJ15" i="8" a="1"/>
  <c r="AJ15" i="8" s="1"/>
  <c r="AK15" i="8" s="1"/>
  <c r="AN15" i="8"/>
  <c r="AJ5" i="8" a="1"/>
  <c r="AJ5" i="8" s="1"/>
  <c r="AL5" i="8" s="1"/>
  <c r="AN5" i="8"/>
  <c r="AJ4" i="8" a="1"/>
  <c r="AJ4" i="8" s="1"/>
  <c r="AK4" i="8" s="1"/>
  <c r="AN4" i="8"/>
  <c r="M5" i="8"/>
  <c r="C5" i="7"/>
  <c r="G19" i="14" s="1"/>
  <c r="D6" i="7"/>
  <c r="L26" i="14" s="1"/>
  <c r="M10" i="8"/>
  <c r="C5" i="8"/>
  <c r="V8" i="8"/>
  <c r="W8" i="8" s="1"/>
  <c r="V7" i="8"/>
  <c r="W7" i="8" s="1"/>
  <c r="V6" i="8"/>
  <c r="Z3" i="8"/>
  <c r="Z10" i="8"/>
  <c r="W9" i="8"/>
  <c r="W13" i="8"/>
  <c r="Y13" i="8"/>
  <c r="Z13" i="8"/>
  <c r="X13" i="8"/>
  <c r="Z12" i="8"/>
  <c r="Y12" i="8"/>
  <c r="X12" i="8"/>
  <c r="W5" i="8"/>
  <c r="Y5" i="8"/>
  <c r="Z5" i="8"/>
  <c r="W4" i="8"/>
  <c r="Y4" i="8"/>
  <c r="Z18" i="8"/>
  <c r="Y17" i="8"/>
  <c r="Z17" i="8"/>
  <c r="X18" i="8"/>
  <c r="Y15" i="8"/>
  <c r="Y10" i="8"/>
  <c r="X15" i="8"/>
  <c r="X10" i="8"/>
  <c r="X5" i="8"/>
  <c r="W15" i="8"/>
  <c r="W10" i="8"/>
  <c r="W3" i="8"/>
  <c r="Z14" i="8"/>
  <c r="Z9" i="8"/>
  <c r="Z4" i="8"/>
  <c r="W18" i="8"/>
  <c r="Y11" i="8"/>
  <c r="X11" i="8"/>
  <c r="W16" i="8"/>
  <c r="X3" i="8"/>
  <c r="Y14" i="8"/>
  <c r="Y9" i="8"/>
  <c r="W17" i="8"/>
  <c r="Z11" i="8"/>
  <c r="Y16" i="8"/>
  <c r="X16" i="8"/>
  <c r="X9" i="8"/>
  <c r="Y3" i="8"/>
  <c r="X14" i="8"/>
  <c r="X4" i="8"/>
  <c r="B5" i="8"/>
  <c r="B15" i="8" s="1" a="1"/>
  <c r="B15" i="8" s="1"/>
  <c r="AA2" i="1"/>
  <c r="AA3" i="1"/>
  <c r="G5" i="7"/>
  <c r="G6" i="7"/>
  <c r="X11" i="14" s="1"/>
  <c r="G7" i="7"/>
  <c r="G10" i="7"/>
  <c r="G11" i="7"/>
  <c r="G12" i="7"/>
  <c r="G13" i="7"/>
  <c r="X25" i="14" s="1"/>
  <c r="G14" i="7"/>
  <c r="G15" i="7"/>
  <c r="G16" i="7"/>
  <c r="G17" i="7"/>
  <c r="G18" i="7"/>
  <c r="G9" i="7"/>
  <c r="G8" i="7"/>
  <c r="AB2" i="1"/>
  <c r="AB17" i="1"/>
  <c r="AA17" i="1"/>
  <c r="AA14" i="1"/>
  <c r="AB14" i="1"/>
  <c r="AB10" i="1"/>
  <c r="AA10" i="1"/>
  <c r="AB9" i="1"/>
  <c r="AA9" i="1"/>
  <c r="AA8" i="1"/>
  <c r="AB8" i="1"/>
  <c r="AA7" i="1"/>
  <c r="AB7" i="1"/>
  <c r="AB16" i="1"/>
  <c r="AA16" i="1"/>
  <c r="AB15" i="1"/>
  <c r="AA15" i="1"/>
  <c r="AA6" i="1"/>
  <c r="AB6" i="1"/>
  <c r="AA5" i="1"/>
  <c r="AB5" i="1"/>
  <c r="AA13" i="1"/>
  <c r="AB13" i="1"/>
  <c r="AA12" i="1"/>
  <c r="AB12" i="1"/>
  <c r="AB11" i="1"/>
  <c r="AA11" i="1"/>
  <c r="AA4" i="1"/>
  <c r="AB4" i="1"/>
  <c r="Z1" i="1"/>
  <c r="X5" i="10"/>
  <c r="AN7" i="10"/>
  <c r="CL5" i="10"/>
  <c r="CL13" i="10"/>
  <c r="BH17" i="10"/>
  <c r="BC11" i="10"/>
  <c r="CG11" i="10"/>
  <c r="CL11" i="10"/>
  <c r="CL27" i="10"/>
  <c r="AX19" i="10"/>
  <c r="BC19" i="10"/>
  <c r="CB27" i="10"/>
  <c r="AD7" i="10"/>
  <c r="BR19" i="10"/>
  <c r="AI7" i="10"/>
  <c r="AS13" i="10"/>
  <c r="CG19" i="10"/>
  <c r="AI29" i="10"/>
  <c r="AD21" i="10"/>
  <c r="AN31" i="10"/>
  <c r="AN9" i="10"/>
  <c r="AI15" i="10"/>
  <c r="CG21" i="10"/>
  <c r="AS31" i="10"/>
  <c r="AS9" i="10"/>
  <c r="AN15" i="10"/>
  <c r="BC31" i="10"/>
  <c r="AX9" i="10"/>
  <c r="AS15" i="10"/>
  <c r="AD23" i="10"/>
  <c r="BH31" i="10"/>
  <c r="BC9" i="10"/>
  <c r="CB15" i="10"/>
  <c r="AX23" i="10"/>
  <c r="BM31" i="10"/>
  <c r="BH9" i="10"/>
  <c r="BM9" i="10"/>
  <c r="AX17" i="10"/>
  <c r="BR33" i="10"/>
  <c r="BW33" i="10"/>
  <c r="BW9" i="10"/>
  <c r="BM17" i="10"/>
  <c r="AI25" i="10"/>
  <c r="CG33" i="10"/>
  <c r="BR17" i="10"/>
  <c r="AX25" i="10"/>
  <c r="CL33" i="10"/>
  <c r="BW17" i="10"/>
  <c r="BC25" i="10"/>
  <c r="BR11" i="10"/>
  <c r="CB17" i="10"/>
  <c r="BH25" i="10"/>
  <c r="AI5" i="10"/>
  <c r="BW11" i="10"/>
  <c r="BM25" i="10"/>
  <c r="BW25" i="10"/>
  <c r="CB25" i="10"/>
  <c r="AN29" i="10"/>
  <c r="AS7" i="10"/>
  <c r="BC15" i="10"/>
  <c r="CG17" i="10"/>
  <c r="AI21" i="10"/>
  <c r="BM23" i="10"/>
  <c r="CG25" i="10"/>
  <c r="AS29" i="10"/>
  <c r="BW31" i="10"/>
  <c r="AD5" i="10"/>
  <c r="AX7" i="10"/>
  <c r="CB9" i="10"/>
  <c r="AD13" i="10"/>
  <c r="BH15" i="10"/>
  <c r="CL17" i="10"/>
  <c r="AN21" i="10"/>
  <c r="BR23" i="10"/>
  <c r="CL25" i="10"/>
  <c r="AX29" i="10"/>
  <c r="CB31" i="10"/>
  <c r="CL19" i="10"/>
  <c r="BC23" i="10"/>
  <c r="BC7" i="10"/>
  <c r="CG9" i="10"/>
  <c r="AI13" i="10"/>
  <c r="BM15" i="10"/>
  <c r="AS21" i="10"/>
  <c r="BW23" i="10"/>
  <c r="BC29" i="10"/>
  <c r="CG31" i="10"/>
  <c r="BR25" i="10"/>
  <c r="AN5" i="10"/>
  <c r="BH7" i="10"/>
  <c r="CL9" i="10"/>
  <c r="BR15" i="10"/>
  <c r="AX21" i="10"/>
  <c r="CB23" i="10"/>
  <c r="AD27" i="10"/>
  <c r="BH29" i="10"/>
  <c r="CL31" i="10"/>
  <c r="AS5" i="10"/>
  <c r="BM7" i="10"/>
  <c r="BW15" i="10"/>
  <c r="BC21" i="10"/>
  <c r="CG23" i="10"/>
  <c r="AI27" i="10"/>
  <c r="BM29" i="10"/>
  <c r="AX5" i="10"/>
  <c r="BR7" i="10"/>
  <c r="AD11" i="10"/>
  <c r="AX13" i="10"/>
  <c r="AD19" i="10"/>
  <c r="BH21" i="10"/>
  <c r="CL23" i="10"/>
  <c r="AN27" i="10"/>
  <c r="BR29" i="10"/>
  <c r="AD33" i="10"/>
  <c r="BC5" i="10"/>
  <c r="BW7" i="10"/>
  <c r="AI11" i="10"/>
  <c r="BC13" i="10"/>
  <c r="CG15" i="10"/>
  <c r="AI19" i="10"/>
  <c r="BM21" i="10"/>
  <c r="AS27" i="10"/>
  <c r="BW29" i="10"/>
  <c r="AI33" i="10"/>
  <c r="AS23" i="10"/>
  <c r="BH5" i="10"/>
  <c r="CB7" i="10"/>
  <c r="AN11" i="10"/>
  <c r="BH13" i="10"/>
  <c r="AN19" i="10"/>
  <c r="BR21" i="10"/>
  <c r="AX27" i="10"/>
  <c r="CB29" i="10"/>
  <c r="AN33" i="10"/>
  <c r="BM5" i="10"/>
  <c r="CG7" i="10"/>
  <c r="AS11" i="10"/>
  <c r="BM13" i="10"/>
  <c r="AS19" i="10"/>
  <c r="BW21" i="10"/>
  <c r="BC27" i="10"/>
  <c r="CG29" i="10"/>
  <c r="AS33" i="10"/>
  <c r="BR5" i="10"/>
  <c r="CL7" i="10"/>
  <c r="BR13" i="10"/>
  <c r="AD17" i="10"/>
  <c r="CB21" i="10"/>
  <c r="AD25" i="10"/>
  <c r="BH27" i="10"/>
  <c r="CL29" i="10"/>
  <c r="AX33" i="10"/>
  <c r="BW5" i="10"/>
  <c r="BW13" i="10"/>
  <c r="AI17" i="10"/>
  <c r="BM27" i="10"/>
  <c r="BC33" i="10"/>
  <c r="CB5" i="10"/>
  <c r="AD9" i="10"/>
  <c r="BH11" i="10"/>
  <c r="CB13" i="10"/>
  <c r="AN17" i="10"/>
  <c r="BH19" i="10"/>
  <c r="CL21" i="10"/>
  <c r="AN25" i="10"/>
  <c r="BR27" i="10"/>
  <c r="AD31" i="10"/>
  <c r="BH33" i="10"/>
  <c r="CG5" i="10"/>
  <c r="AI9" i="10"/>
  <c r="BM11" i="10"/>
  <c r="CG13" i="10"/>
  <c r="AS17" i="10"/>
  <c r="BM19" i="10"/>
  <c r="AS25" i="10"/>
  <c r="BW27" i="10"/>
  <c r="AI31" i="10"/>
  <c r="BM33" i="10"/>
  <c r="BC17" i="10"/>
  <c r="BW19" i="10"/>
  <c r="AI23" i="10"/>
  <c r="CG27" i="10"/>
  <c r="CB11" i="10"/>
  <c r="AD15" i="10"/>
  <c r="CB19" i="10"/>
  <c r="AN23" i="10"/>
  <c r="AX31" i="10"/>
  <c r="CB33" i="10"/>
  <c r="AX15" i="10"/>
  <c r="BH23" i="10"/>
  <c r="BR31" i="10"/>
  <c r="E86" i="1"/>
  <c r="E66" i="1"/>
  <c r="E46" i="1"/>
  <c r="E26" i="1"/>
  <c r="E105" i="1"/>
  <c r="E85" i="1"/>
  <c r="E65" i="1"/>
  <c r="E45" i="1"/>
  <c r="E25" i="1"/>
  <c r="E104" i="1"/>
  <c r="E84" i="1"/>
  <c r="E64" i="1"/>
  <c r="E44" i="1"/>
  <c r="E24" i="1"/>
  <c r="E102" i="1"/>
  <c r="E82" i="1"/>
  <c r="E62" i="1"/>
  <c r="E42" i="1"/>
  <c r="E22" i="1"/>
  <c r="E101" i="1"/>
  <c r="E81" i="1"/>
  <c r="E61" i="1"/>
  <c r="E41" i="1"/>
  <c r="E21" i="1"/>
  <c r="E100" i="1"/>
  <c r="E80" i="1"/>
  <c r="E60" i="1"/>
  <c r="E40" i="1"/>
  <c r="E20" i="1"/>
  <c r="E99" i="1"/>
  <c r="E79" i="1"/>
  <c r="E59" i="1"/>
  <c r="E39" i="1"/>
  <c r="E19" i="1"/>
  <c r="E98" i="1"/>
  <c r="E78" i="1"/>
  <c r="E58" i="1"/>
  <c r="E38" i="1"/>
  <c r="E18" i="1"/>
  <c r="E97" i="1"/>
  <c r="E77" i="1"/>
  <c r="E57" i="1"/>
  <c r="E37" i="1"/>
  <c r="E17" i="1"/>
  <c r="E96" i="1"/>
  <c r="E76" i="1"/>
  <c r="E56" i="1"/>
  <c r="E36" i="1"/>
  <c r="E16" i="1"/>
  <c r="E95" i="1"/>
  <c r="E75" i="1"/>
  <c r="E55" i="1"/>
  <c r="E35" i="1"/>
  <c r="E15" i="1"/>
  <c r="E94" i="1"/>
  <c r="E74" i="1"/>
  <c r="E54" i="1"/>
  <c r="E34" i="1"/>
  <c r="E14" i="1"/>
  <c r="E93" i="1"/>
  <c r="E73" i="1"/>
  <c r="E53" i="1"/>
  <c r="E33" i="1"/>
  <c r="E13" i="1"/>
  <c r="E92" i="1"/>
  <c r="E72" i="1"/>
  <c r="E52" i="1"/>
  <c r="E32" i="1"/>
  <c r="E12" i="1"/>
  <c r="E91" i="1"/>
  <c r="E71" i="1"/>
  <c r="E51" i="1"/>
  <c r="E31" i="1"/>
  <c r="E11" i="1"/>
  <c r="E90" i="1"/>
  <c r="E70" i="1"/>
  <c r="E50" i="1"/>
  <c r="E30" i="1"/>
  <c r="E10" i="1"/>
  <c r="E89" i="1"/>
  <c r="E69" i="1"/>
  <c r="E49" i="1"/>
  <c r="E29" i="1"/>
  <c r="E9" i="1"/>
  <c r="E88" i="1"/>
  <c r="E68" i="1"/>
  <c r="E48" i="1"/>
  <c r="E28" i="1"/>
  <c r="E8" i="1"/>
  <c r="E87" i="1"/>
  <c r="E67" i="1"/>
  <c r="E47" i="1"/>
  <c r="E27" i="1"/>
  <c r="E7" i="1"/>
  <c r="E6" i="1"/>
  <c r="E5" i="1"/>
  <c r="E4" i="1"/>
  <c r="E103" i="1"/>
  <c r="E83" i="1"/>
  <c r="E63" i="1"/>
  <c r="E43" i="1"/>
  <c r="E23" i="1"/>
  <c r="E3" i="1"/>
  <c r="E2" i="1"/>
  <c r="D50" i="1"/>
  <c r="D88" i="1"/>
  <c r="D7" i="1"/>
  <c r="D85" i="1"/>
  <c r="D45" i="1"/>
  <c r="D5" i="1"/>
  <c r="D84" i="1"/>
  <c r="D44" i="1"/>
  <c r="D4" i="1"/>
  <c r="D83" i="1"/>
  <c r="D3" i="1"/>
  <c r="D82" i="1"/>
  <c r="D22" i="1"/>
  <c r="D81" i="1"/>
  <c r="D21" i="1"/>
  <c r="D60" i="1"/>
  <c r="D20" i="1"/>
  <c r="D99" i="1"/>
  <c r="D59" i="1"/>
  <c r="D19" i="1"/>
  <c r="D98" i="1"/>
  <c r="D78" i="1"/>
  <c r="D38" i="1"/>
  <c r="D37" i="1"/>
  <c r="D32" i="1"/>
  <c r="D90" i="1"/>
  <c r="D70" i="1"/>
  <c r="D30" i="1"/>
  <c r="D68" i="1"/>
  <c r="D48" i="1"/>
  <c r="D28" i="1"/>
  <c r="D8" i="1"/>
  <c r="D87" i="1"/>
  <c r="D67" i="1"/>
  <c r="D47" i="1"/>
  <c r="D27" i="1"/>
  <c r="D105" i="1"/>
  <c r="D65" i="1"/>
  <c r="D25" i="1"/>
  <c r="D104" i="1"/>
  <c r="D64" i="1"/>
  <c r="D24" i="1"/>
  <c r="D103" i="1"/>
  <c r="D63" i="1"/>
  <c r="D43" i="1"/>
  <c r="D23" i="1"/>
  <c r="D102" i="1"/>
  <c r="D62" i="1"/>
  <c r="D42" i="1"/>
  <c r="D101" i="1"/>
  <c r="D61" i="1"/>
  <c r="D41" i="1"/>
  <c r="D100" i="1"/>
  <c r="D80" i="1"/>
  <c r="D40" i="1"/>
  <c r="D79" i="1"/>
  <c r="D39" i="1"/>
  <c r="D58" i="1"/>
  <c r="D18" i="1"/>
  <c r="D97" i="1"/>
  <c r="D77" i="1"/>
  <c r="D57" i="1"/>
  <c r="D17" i="1"/>
  <c r="D96" i="1"/>
  <c r="D76" i="1"/>
  <c r="D56" i="1"/>
  <c r="D36" i="1"/>
  <c r="D16" i="1"/>
  <c r="D95" i="1"/>
  <c r="D75" i="1"/>
  <c r="D55" i="1"/>
  <c r="D35" i="1"/>
  <c r="D15" i="1"/>
  <c r="D94" i="1"/>
  <c r="D74" i="1"/>
  <c r="D54" i="1"/>
  <c r="D34" i="1"/>
  <c r="D14" i="1"/>
  <c r="D93" i="1"/>
  <c r="D73" i="1"/>
  <c r="D53" i="1"/>
  <c r="D33" i="1"/>
  <c r="D13" i="1"/>
  <c r="D92" i="1"/>
  <c r="D72" i="1"/>
  <c r="D52" i="1"/>
  <c r="D12" i="1"/>
  <c r="D91" i="1"/>
  <c r="D71" i="1"/>
  <c r="D51" i="1"/>
  <c r="D31" i="1"/>
  <c r="D11" i="1"/>
  <c r="D10" i="1"/>
  <c r="D89" i="1"/>
  <c r="D69" i="1"/>
  <c r="D49" i="1"/>
  <c r="D29" i="1"/>
  <c r="D9" i="1"/>
  <c r="D86" i="1"/>
  <c r="D66" i="1"/>
  <c r="D46" i="1"/>
  <c r="D26" i="1"/>
  <c r="D6" i="1"/>
  <c r="G12" i="14" l="1"/>
  <c r="X35" i="10"/>
  <c r="X35" i="14"/>
  <c r="X33" i="10"/>
  <c r="X33" i="14"/>
  <c r="X21" i="10"/>
  <c r="X21" i="14"/>
  <c r="X19" i="10"/>
  <c r="X19" i="14"/>
  <c r="X13" i="14"/>
  <c r="C3" i="13"/>
  <c r="AI39" i="14" s="1"/>
  <c r="C4" i="13"/>
  <c r="AN39" i="14" s="1"/>
  <c r="C9" i="13"/>
  <c r="BM39" i="14" s="1"/>
  <c r="C5" i="13"/>
  <c r="AS39" i="14" s="1"/>
  <c r="C6" i="13"/>
  <c r="AX39" i="14" s="1"/>
  <c r="C7" i="13"/>
  <c r="BC39" i="14" s="1"/>
  <c r="C8" i="13"/>
  <c r="BH39" i="14" s="1"/>
  <c r="C10" i="13"/>
  <c r="BR39" i="14" s="1"/>
  <c r="C11" i="13"/>
  <c r="BW39" i="14" s="1"/>
  <c r="C12" i="13"/>
  <c r="CB39" i="14" s="1"/>
  <c r="C13" i="13"/>
  <c r="CG39" i="14" s="1"/>
  <c r="C14" i="13"/>
  <c r="CL39" i="14" s="1"/>
  <c r="C2" i="13"/>
  <c r="AD39" i="14" s="1"/>
  <c r="X29" i="10"/>
  <c r="X29" i="14"/>
  <c r="X27" i="10"/>
  <c r="X27" i="14"/>
  <c r="X23" i="10"/>
  <c r="X23" i="14"/>
  <c r="X9" i="14"/>
  <c r="X15" i="14"/>
  <c r="X31" i="14"/>
  <c r="X17" i="10"/>
  <c r="X17" i="14"/>
  <c r="G12" i="10"/>
  <c r="B21" i="8"/>
  <c r="D15" i="8" a="1"/>
  <c r="D15" i="8" s="1"/>
  <c r="AL8" i="8"/>
  <c r="B20" i="8"/>
  <c r="W6" i="8"/>
  <c r="D11" i="8" s="1"/>
  <c r="C11" i="8"/>
  <c r="AK5" i="8"/>
  <c r="AL15" i="8"/>
  <c r="AL14" i="8"/>
  <c r="AK12" i="8"/>
  <c r="AK9" i="8"/>
  <c r="AL13" i="8"/>
  <c r="AK8" i="8"/>
  <c r="AL4" i="8"/>
  <c r="AK11" i="8"/>
  <c r="AK3" i="8"/>
  <c r="AL7" i="8"/>
  <c r="AL10" i="8"/>
  <c r="AK6" i="8"/>
  <c r="G19" i="10"/>
  <c r="L26" i="10"/>
  <c r="Y7" i="8"/>
  <c r="Z7" i="8"/>
  <c r="Y8" i="8"/>
  <c r="Z8" i="8"/>
  <c r="X8" i="8"/>
  <c r="X7" i="8"/>
  <c r="Y6" i="8"/>
  <c r="Z6" i="8"/>
  <c r="X6" i="8"/>
  <c r="X31" i="10"/>
  <c r="AB3" i="1"/>
  <c r="G4" i="7"/>
  <c r="X13" i="10"/>
  <c r="X15" i="10"/>
  <c r="X25" i="10"/>
  <c r="X9" i="10"/>
  <c r="X11" i="10"/>
  <c r="F10" i="13" l="1"/>
  <c r="F7" i="13"/>
  <c r="F2" i="13"/>
  <c r="F14" i="13"/>
  <c r="F13" i="13"/>
  <c r="F11" i="13"/>
  <c r="F8" i="13"/>
  <c r="F6" i="13"/>
  <c r="F5" i="13"/>
  <c r="F9" i="13"/>
  <c r="F4" i="13"/>
  <c r="F3" i="13"/>
  <c r="F12" i="13"/>
  <c r="X7" i="10"/>
  <c r="X7" i="14"/>
  <c r="D10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<sst xmlns="http://schemas.openxmlformats.org/spreadsheetml/2006/main" count="1058" uniqueCount="544">
  <si>
    <t>Board</t>
  </si>
  <si>
    <t>A</t>
  </si>
  <si>
    <t>K</t>
  </si>
  <si>
    <t>J</t>
  </si>
  <si>
    <t>Q</t>
  </si>
  <si>
    <t>Shuffled</t>
  </si>
  <si>
    <t>Ordered Deck</t>
  </si>
  <si>
    <t>Foundations</t>
  </si>
  <si>
    <t>¨</t>
  </si>
  <si>
    <t>ª</t>
  </si>
  <si>
    <t>§</t>
  </si>
  <si>
    <t>©</t>
  </si>
  <si>
    <t>Card Suit</t>
  </si>
  <si>
    <t>Card Rank</t>
  </si>
  <si>
    <t>♠</t>
  </si>
  <si>
    <t>♥</t>
  </si>
  <si>
    <t>♦</t>
  </si>
  <si>
    <t>♣</t>
  </si>
  <si>
    <t>1 - ♠</t>
  </si>
  <si>
    <t>2 - ♠</t>
  </si>
  <si>
    <t>3 - ♠</t>
  </si>
  <si>
    <t>4 - ♠</t>
  </si>
  <si>
    <t>5 - ♠</t>
  </si>
  <si>
    <t>6 - ♠</t>
  </si>
  <si>
    <t>7 - ♠</t>
  </si>
  <si>
    <t>8 - ♠</t>
  </si>
  <si>
    <t>9 - ♠</t>
  </si>
  <si>
    <t>10 - ♠</t>
  </si>
  <si>
    <t>11 - ♠</t>
  </si>
  <si>
    <t>12 - ♠</t>
  </si>
  <si>
    <t>13 - ♠</t>
  </si>
  <si>
    <t>1 - ♥</t>
  </si>
  <si>
    <t>2 - ♥</t>
  </si>
  <si>
    <t>3 - ♥</t>
  </si>
  <si>
    <t>4 - ♥</t>
  </si>
  <si>
    <t>5 - ♥</t>
  </si>
  <si>
    <t>6 - ♥</t>
  </si>
  <si>
    <t>7 - ♥</t>
  </si>
  <si>
    <t>8 - ♥</t>
  </si>
  <si>
    <t>9 - ♥</t>
  </si>
  <si>
    <t>10 - ♥</t>
  </si>
  <si>
    <t>11 - ♥</t>
  </si>
  <si>
    <t>12 - ♥</t>
  </si>
  <si>
    <t>13 - ♥</t>
  </si>
  <si>
    <t>1 - ♣</t>
  </si>
  <si>
    <t>2 - ♣</t>
  </si>
  <si>
    <t>3 - ♣</t>
  </si>
  <si>
    <t>4 - ♣</t>
  </si>
  <si>
    <t>5 - ♣</t>
  </si>
  <si>
    <t>6 - ♣</t>
  </si>
  <si>
    <t>7 - ♣</t>
  </si>
  <si>
    <t>8 - ♣</t>
  </si>
  <si>
    <t>9 - ♣</t>
  </si>
  <si>
    <t>10 - ♣</t>
  </si>
  <si>
    <t>11 - ♣</t>
  </si>
  <si>
    <t>12 - ♣</t>
  </si>
  <si>
    <t>13 - ♣</t>
  </si>
  <si>
    <t>1 - ♦</t>
  </si>
  <si>
    <t>2 - ♦</t>
  </si>
  <si>
    <t>3 - ♦</t>
  </si>
  <si>
    <t>4 - ♦</t>
  </si>
  <si>
    <t>5 - ♦</t>
  </si>
  <si>
    <t>6 - ♦</t>
  </si>
  <si>
    <t>7 - ♦</t>
  </si>
  <si>
    <t>8 - ♦</t>
  </si>
  <si>
    <t>9 - ♦</t>
  </si>
  <si>
    <t>10 - ♦</t>
  </si>
  <si>
    <t>11 - ♦</t>
  </si>
  <si>
    <t>12 - ♦</t>
  </si>
  <si>
    <t>13 - ♦</t>
  </si>
  <si>
    <t>Piles</t>
  </si>
  <si>
    <t>Working Set</t>
  </si>
  <si>
    <t>S</t>
  </si>
  <si>
    <t>H</t>
  </si>
  <si>
    <t>C</t>
  </si>
  <si>
    <t>D</t>
  </si>
  <si>
    <t>FOUNDATIONS</t>
  </si>
  <si>
    <t>PILES</t>
  </si>
  <si>
    <t>WS</t>
  </si>
  <si>
    <t>A - ♠</t>
  </si>
  <si>
    <t>J - ♠</t>
  </si>
  <si>
    <t>Q - ♠</t>
  </si>
  <si>
    <t>K - ♠</t>
  </si>
  <si>
    <t>A - ♥</t>
  </si>
  <si>
    <t>J - ♥</t>
  </si>
  <si>
    <t>Q - ♥</t>
  </si>
  <si>
    <t>K - ♥</t>
  </si>
  <si>
    <t>A - ♣</t>
  </si>
  <si>
    <t>J - ♣</t>
  </si>
  <si>
    <t>Q - ♣</t>
  </si>
  <si>
    <t>K - ♣</t>
  </si>
  <si>
    <t>A - ♦</t>
  </si>
  <si>
    <t>J - ♦</t>
  </si>
  <si>
    <t>Q - ♦</t>
  </si>
  <si>
    <t>K - ♦</t>
  </si>
  <si>
    <t>Exile/Stockpile</t>
  </si>
  <si>
    <t>Rank</t>
  </si>
  <si>
    <t>Active Card</t>
  </si>
  <si>
    <t>Suit</t>
  </si>
  <si>
    <t>Selected</t>
  </si>
  <si>
    <t>Card</t>
  </si>
  <si>
    <t>Pile Rank</t>
  </si>
  <si>
    <t>Order</t>
  </si>
  <si>
    <t>A to K</t>
  </si>
  <si>
    <t>K to A</t>
  </si>
  <si>
    <t>Is Empty</t>
  </si>
  <si>
    <t>Card (RANK VIEW)</t>
  </si>
  <si>
    <t>Card (TRUE VIEW)</t>
  </si>
  <si>
    <t>Card Up</t>
  </si>
  <si>
    <t>Card Down</t>
  </si>
  <si>
    <t>Empty</t>
  </si>
  <si>
    <t>A2K Req</t>
  </si>
  <si>
    <t>K2A Req</t>
  </si>
  <si>
    <t>Total</t>
  </si>
  <si>
    <t>Selections</t>
  </si>
  <si>
    <t>`</t>
  </si>
  <si>
    <t>Selected AS DEST</t>
  </si>
  <si>
    <t>AS DEST</t>
  </si>
  <si>
    <t>Top Card</t>
  </si>
  <si>
    <t>Pile Size</t>
  </si>
  <si>
    <t>A2K</t>
  </si>
  <si>
    <t>K2A</t>
  </si>
  <si>
    <t>Can Rec</t>
  </si>
  <si>
    <t>IS EMPTY?</t>
  </si>
  <si>
    <t>PILE SIZE</t>
  </si>
  <si>
    <t>BASE</t>
  </si>
  <si>
    <t>King</t>
  </si>
  <si>
    <t>Ace</t>
  </si>
  <si>
    <t>Foundation</t>
  </si>
  <si>
    <t>Direction</t>
  </si>
  <si>
    <t>Type Key</t>
  </si>
  <si>
    <t>Pile</t>
  </si>
  <si>
    <t>Workingset</t>
  </si>
  <si>
    <t>Size</t>
  </si>
  <si>
    <t>Top Card Rank</t>
  </si>
  <si>
    <t>Suit Conversion</t>
  </si>
  <si>
    <t>Move to Foundation</t>
  </si>
  <si>
    <t>Top/Selected Card</t>
  </si>
  <si>
    <t>Move to Pile Selection Index</t>
  </si>
  <si>
    <t>COL U</t>
  </si>
  <si>
    <t>COL AG</t>
  </si>
  <si>
    <t>Selection Type</t>
  </si>
  <si>
    <t>Selected Card</t>
  </si>
  <si>
    <t>selected foundation</t>
  </si>
  <si>
    <t>F#</t>
  </si>
  <si>
    <t>fsize</t>
  </si>
  <si>
    <t>Selected fSize</t>
  </si>
  <si>
    <r>
      <t xml:space="preserve">Any changes made to this tab could break the workbook. </t>
    </r>
    <r>
      <rPr>
        <b/>
        <u/>
        <sz val="48"/>
        <color theme="1"/>
        <rFont val="Aptos Narrow"/>
        <family val="2"/>
        <scheme val="minor"/>
      </rPr>
      <t>BE CAREFUL</t>
    </r>
  </si>
  <si>
    <r>
      <t xml:space="preserve">Any changes made to this tab could break the workbook.
</t>
    </r>
    <r>
      <rPr>
        <b/>
        <u/>
        <sz val="36"/>
        <color theme="1"/>
        <rFont val="Aptos Narrow"/>
        <family val="2"/>
        <scheme val="minor"/>
      </rPr>
      <t>BE CAREFUL</t>
    </r>
  </si>
  <si>
    <r>
      <t xml:space="preserve">Any changes made to this tab could prevent the game from displaying properly. 
</t>
    </r>
    <r>
      <rPr>
        <b/>
        <u/>
        <sz val="36"/>
        <color theme="1"/>
        <rFont val="Aptos Narrow"/>
        <family val="2"/>
        <scheme val="minor"/>
      </rPr>
      <t>BE CAREFUL</t>
    </r>
  </si>
  <si>
    <t>Selected Card Index</t>
  </si>
  <si>
    <t>How to play:</t>
  </si>
  <si>
    <r>
      <t xml:space="preserve">13 Packs Solitaire: </t>
    </r>
    <r>
      <rPr>
        <i/>
        <sz val="11"/>
        <color theme="1"/>
        <rFont val="Aptos Narrow"/>
        <family val="2"/>
        <scheme val="minor"/>
      </rPr>
      <t>Excel Edition</t>
    </r>
  </si>
  <si>
    <t>13 Packs is a solitaire game that uses two decks. The gameboard is made up of 13 tableaus, 8 foundations, and a stock pile.</t>
  </si>
  <si>
    <t>Cards are shuffled and dealt face up onto tableaus one at a time. The stock pile is built as you deal.</t>
  </si>
  <si>
    <t>When this is done, your stockpile will contain between 20 and 30 cards while each tableau should have 6 or 7 cards.</t>
  </si>
  <si>
    <t>Set up and rules:</t>
  </si>
  <si>
    <t>Winning the game requires moving all cards to the foundations under the following restrictions:</t>
  </si>
  <si>
    <t>The 4 foundations on the left are built up by suit from ace to king</t>
  </si>
  <si>
    <t>The 4 foundations on the right are built down by suit from king to ace</t>
  </si>
  <si>
    <t>The bottom card of any tableau may be moved to any compatible foundation</t>
  </si>
  <si>
    <t>The top card of a foundation may be moved to a compatible foundation</t>
  </si>
  <si>
    <t>The bottom card of a tableau may be moved to an empty tableau that shares its rank (i.e. a 2 can be moved to the second tableau if that tableau is empty)</t>
  </si>
  <si>
    <t>Each time a king or ace is dealt, a card is dealt to a tableau that shares it's rank (i.e. a 2 is dealt to the second tableau), or a card is dealt onto the final tableau, the next card is dealt face down to the stockpile.</t>
  </si>
  <si>
    <t>The top card of the stock pile may be used as follows:</t>
  </si>
  <si>
    <t>Any card in the working set may be played to a compatible foundation and the working set may be freely rearranged.</t>
  </si>
  <si>
    <t>Pushing the "Next Card" button will return the working set to its associated tableau. A new card will be drawn forming a new working set.</t>
  </si>
  <si>
    <t>To move cards:</t>
  </si>
  <si>
    <t>You may only select one card at a time. Push the button again to deselect a card.</t>
  </si>
  <si>
    <t>Each card/pile has box that will change color to indicate it is selected.</t>
  </si>
  <si>
    <t>Game won:</t>
  </si>
  <si>
    <r>
      <t xml:space="preserve">protected sheet password: </t>
    </r>
    <r>
      <rPr>
        <b/>
        <u/>
        <sz val="11"/>
        <color theme="1"/>
        <rFont val="Aptos Narrow"/>
        <family val="2"/>
        <scheme val="minor"/>
      </rPr>
      <t>admin</t>
    </r>
  </si>
  <si>
    <t>^for testing</t>
  </si>
  <si>
    <t>Board by Rank</t>
  </si>
  <si>
    <t>Board by Suit</t>
  </si>
  <si>
    <t>Gameboard</t>
  </si>
  <si>
    <t>Stockpile</t>
  </si>
  <si>
    <t>1,1</t>
  </si>
  <si>
    <t>1,2</t>
  </si>
  <si>
    <t>1,3</t>
  </si>
  <si>
    <t>1,4</t>
  </si>
  <si>
    <t>1,5</t>
  </si>
  <si>
    <t>1,6</t>
  </si>
  <si>
    <t>1,7</t>
  </si>
  <si>
    <t>1,8</t>
  </si>
  <si>
    <t>1,9</t>
  </si>
  <si>
    <t>1,10</t>
  </si>
  <si>
    <t>1,11</t>
  </si>
  <si>
    <t>1,12</t>
  </si>
  <si>
    <t>1,13</t>
  </si>
  <si>
    <t>2,1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</si>
  <si>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</si>
  <si>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</si>
  <si>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</si>
  <si>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</si>
  <si>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</si>
  <si>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</si>
  <si>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</si>
  <si>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</si>
  <si>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</si>
  <si>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</si>
  <si>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</si>
  <si>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</si>
  <si>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3,1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</si>
  <si>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</si>
  <si>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</si>
  <si>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</si>
  <si>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</si>
  <si>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</si>
  <si>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</si>
  <si>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</si>
  <si>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</si>
  <si>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</si>
  <si>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</si>
  <si>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</si>
  <si>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</si>
  <si>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4,1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</si>
  <si>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</si>
  <si>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</si>
  <si>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</si>
  <si>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</si>
  <si>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</si>
  <si>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</si>
  <si>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</si>
  <si>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</si>
  <si>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</si>
  <si>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</si>
  <si>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</si>
  <si>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</si>
  <si>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5,1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</si>
  <si>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</si>
  <si>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</si>
  <si>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</si>
  <si>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</si>
  <si>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</si>
  <si>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</si>
  <si>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</si>
  <si>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</si>
  <si>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</si>
  <si>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</si>
  <si>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</si>
  <si>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</si>
  <si>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6,1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</si>
  <si>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</si>
  <si>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</si>
  <si>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</si>
  <si>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</si>
  <si>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</si>
  <si>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</si>
  <si>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</si>
  <si>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</si>
  <si>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</si>
  <si>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</si>
  <si>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</si>
  <si>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</si>
  <si>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7,1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</si>
  <si>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</si>
  <si>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</si>
  <si>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</si>
  <si>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</si>
  <si>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</si>
  <si>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</si>
  <si>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</si>
  <si>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</si>
  <si>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</si>
  <si>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</si>
  <si>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</si>
  <si>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</si>
  <si>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8,1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</si>
  <si>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</si>
  <si>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</si>
  <si>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</si>
  <si>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</si>
  <si>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</si>
  <si>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</si>
  <si>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</si>
  <si>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</si>
  <si>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</si>
  <si>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</si>
  <si>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</si>
  <si>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</si>
  <si>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9,1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</si>
  <si>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</si>
  <si>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</si>
  <si>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</si>
  <si>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</si>
  <si>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</si>
  <si>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</si>
  <si>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</si>
  <si>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</si>
  <si>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</si>
  <si>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</si>
  <si>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</si>
  <si>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</si>
  <si>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10,1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</si>
  <si>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</si>
  <si>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</si>
  <si>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</si>
  <si>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</si>
  <si>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</si>
  <si>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</si>
  <si>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</si>
  <si>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</si>
  <si>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</si>
  <si>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</si>
  <si>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</si>
  <si>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</si>
  <si>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11,1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</si>
  <si>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</si>
  <si>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</si>
  <si>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</si>
  <si>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</si>
  <si>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</si>
  <si>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</si>
  <si>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</si>
  <si>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</si>
  <si>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</si>
  <si>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</si>
  <si>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</si>
  <si>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</si>
  <si>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12,1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</si>
  <si>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</si>
  <si>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</si>
  <si>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</si>
  <si>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</si>
  <si>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</si>
  <si>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</si>
  <si>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</si>
  <si>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</si>
  <si>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</si>
  <si>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</si>
  <si>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</si>
  <si>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</si>
  <si>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13,1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</si>
  <si>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</si>
  <si>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</si>
  <si>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</si>
  <si>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</si>
  <si>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</si>
  <si>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</si>
  <si>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</si>
  <si>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</si>
  <si>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</si>
  <si>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</si>
  <si>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</si>
  <si>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</si>
  <si>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14,1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</si>
  <si>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</si>
  <si>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</si>
  <si>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</si>
  <si>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</si>
  <si>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</si>
  <si>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</si>
  <si>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</si>
  <si>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</si>
  <si>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</si>
  <si>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</si>
  <si>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</si>
  <si>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</si>
  <si>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15,1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</si>
  <si>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</si>
  <si>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</si>
  <si>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</si>
  <si>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</si>
  <si>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</si>
  <si>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</si>
  <si>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</si>
  <si>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</si>
  <si>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</si>
  <si>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</si>
  <si>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</si>
  <si>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</si>
  <si>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A2K-S-1</t>
  </si>
  <si>
    <t>A2K-S-2</t>
  </si>
  <si>
    <t>A2K-S-3</t>
  </si>
  <si>
    <t>A2K-S-4</t>
  </si>
  <si>
    <t>A2K-S-5</t>
  </si>
  <si>
    <t>A2K-S-6</t>
  </si>
  <si>
    <t>A2K-S-7</t>
  </si>
  <si>
    <t>A2K-S-8</t>
  </si>
  <si>
    <t>A2K-S-9</t>
  </si>
  <si>
    <t>A2K-S-10</t>
  </si>
  <si>
    <t>A2K-S-11</t>
  </si>
  <si>
    <t>A2K-S-12</t>
  </si>
  <si>
    <t>A2K-S-13</t>
  </si>
  <si>
    <t>A2K-H-1</t>
  </si>
  <si>
    <t>A2K-H-2</t>
  </si>
  <si>
    <t>A2K-H-3</t>
  </si>
  <si>
    <t>A2K-H-4</t>
  </si>
  <si>
    <t>A2K-H-5</t>
  </si>
  <si>
    <t>A2K-H-6</t>
  </si>
  <si>
    <t>A2K-H-7</t>
  </si>
  <si>
    <t>A2K-H-8</t>
  </si>
  <si>
    <t>A2K-H-9</t>
  </si>
  <si>
    <t>A2K-H-10</t>
  </si>
  <si>
    <t>A2K-H-11</t>
  </si>
  <si>
    <t>A2K-H-12</t>
  </si>
  <si>
    <t>A2K-H-13</t>
  </si>
  <si>
    <t>A2K-C-1</t>
  </si>
  <si>
    <t>A2K-C-2</t>
  </si>
  <si>
    <t>A2K-C-3</t>
  </si>
  <si>
    <t>A2K-C-4</t>
  </si>
  <si>
    <t>A2K-C-5</t>
  </si>
  <si>
    <t>A2K-C-6</t>
  </si>
  <si>
    <t>A2K-C-7</t>
  </si>
  <si>
    <t>A2K-C-8</t>
  </si>
  <si>
    <t>A2K-C-9</t>
  </si>
  <si>
    <t>A2K-C-10</t>
  </si>
  <si>
    <t>A2K-C-11</t>
  </si>
  <si>
    <t>A2K-C-12</t>
  </si>
  <si>
    <t>A2K-C-13</t>
  </si>
  <si>
    <t>Moves Made</t>
  </si>
  <si>
    <t>Moves Made:</t>
  </si>
  <si>
    <t>A2K-D-1</t>
  </si>
  <si>
    <t>A2K-D-2</t>
  </si>
  <si>
    <t>A2K-D-3</t>
  </si>
  <si>
    <t>A2K-D-4</t>
  </si>
  <si>
    <t>A2K-D-5</t>
  </si>
  <si>
    <t>A2K-D-6</t>
  </si>
  <si>
    <t>A2K-D-7</t>
  </si>
  <si>
    <t>A2K-D-8</t>
  </si>
  <si>
    <t>A2K-D-9</t>
  </si>
  <si>
    <t>A2K-D-10</t>
  </si>
  <si>
    <t>A2K-D-11</t>
  </si>
  <si>
    <t>A2K-D-12</t>
  </si>
  <si>
    <t>A2K-D-13</t>
  </si>
  <si>
    <t>K2A-S-1</t>
  </si>
  <si>
    <t>K2A-S-2</t>
  </si>
  <si>
    <t>K2A-S-3</t>
  </si>
  <si>
    <t>K2A-S-4</t>
  </si>
  <si>
    <t>K2A-S-5</t>
  </si>
  <si>
    <t>K2A-S-6</t>
  </si>
  <si>
    <t>K2A-S-7</t>
  </si>
  <si>
    <t>K2A-S-8</t>
  </si>
  <si>
    <t>K2A-S-9</t>
  </si>
  <si>
    <t>K2A-S-10</t>
  </si>
  <si>
    <t>K2A-S-11</t>
  </si>
  <si>
    <t>K2A-S-12</t>
  </si>
  <si>
    <t>K2A-S-13</t>
  </si>
  <si>
    <t>K2A-H-1</t>
  </si>
  <si>
    <t>K2A-H-2</t>
  </si>
  <si>
    <t>K2A-H-3</t>
  </si>
  <si>
    <t>K2A-H-4</t>
  </si>
  <si>
    <t>K2A-H-5</t>
  </si>
  <si>
    <t>K2A-H-6</t>
  </si>
  <si>
    <t>K2A-H-7</t>
  </si>
  <si>
    <t>K2A-H-8</t>
  </si>
  <si>
    <t>K2A-H-9</t>
  </si>
  <si>
    <t>K2A-H-10</t>
  </si>
  <si>
    <t>K2A-H-11</t>
  </si>
  <si>
    <t>K2A-H-12</t>
  </si>
  <si>
    <t>K2A-H-13</t>
  </si>
  <si>
    <t>K2A-C-1</t>
  </si>
  <si>
    <t>K2A-C-2</t>
  </si>
  <si>
    <t>K2A-C-3</t>
  </si>
  <si>
    <t>K2A-C-4</t>
  </si>
  <si>
    <t>K2A-C-5</t>
  </si>
  <si>
    <t>K2A-C-6</t>
  </si>
  <si>
    <t>K2A-C-7</t>
  </si>
  <si>
    <t>K2A-C-8</t>
  </si>
  <si>
    <t>K2A-C-9</t>
  </si>
  <si>
    <t>K2A-C-10</t>
  </si>
  <si>
    <t>K2A-C-11</t>
  </si>
  <si>
    <t>K2A-C-12</t>
  </si>
  <si>
    <t>K2A-C-13</t>
  </si>
  <si>
    <t>K2A-D-1</t>
  </si>
  <si>
    <t>K2A-D-2</t>
  </si>
  <si>
    <t>K2A-D-3</t>
  </si>
  <si>
    <t>K2A-D-4</t>
  </si>
  <si>
    <t>K2A-D-5</t>
  </si>
  <si>
    <t>K2A-D-6</t>
  </si>
  <si>
    <t>K2A-D-7</t>
  </si>
  <si>
    <t>K2A-D-8</t>
  </si>
  <si>
    <t>K2A-D-9</t>
  </si>
  <si>
    <t>K2A-D-10</t>
  </si>
  <si>
    <t>K2A-D-11</t>
  </si>
  <si>
    <t>K2A-D-12</t>
  </si>
  <si>
    <t>K2A-D-13</t>
  </si>
  <si>
    <t>Highest Move:</t>
  </si>
  <si>
    <t>Active Line</t>
  </si>
  <si>
    <t>Match?</t>
  </si>
  <si>
    <t>Game Board in Memory</t>
  </si>
  <si>
    <t>Compact</t>
  </si>
  <si>
    <t>2♠</t>
  </si>
  <si>
    <t>3♠</t>
  </si>
  <si>
    <t>4♠</t>
  </si>
  <si>
    <t>5♠</t>
  </si>
  <si>
    <t>6♠</t>
  </si>
  <si>
    <t>7♠</t>
  </si>
  <si>
    <t>8♠</t>
  </si>
  <si>
    <t>9♠</t>
  </si>
  <si>
    <t>2♥</t>
  </si>
  <si>
    <t>3♥</t>
  </si>
  <si>
    <t>4♥</t>
  </si>
  <si>
    <t>5♥</t>
  </si>
  <si>
    <t>6♥</t>
  </si>
  <si>
    <t>7♥</t>
  </si>
  <si>
    <t>8♥</t>
  </si>
  <si>
    <t>9♥</t>
  </si>
  <si>
    <t>2♣</t>
  </si>
  <si>
    <t>3♣</t>
  </si>
  <si>
    <t>4♣</t>
  </si>
  <si>
    <t>5♣</t>
  </si>
  <si>
    <t>6♣</t>
  </si>
  <si>
    <t>7♣</t>
  </si>
  <si>
    <t>8♣</t>
  </si>
  <si>
    <t>9♣</t>
  </si>
  <si>
    <t>A♠</t>
  </si>
  <si>
    <t>X♠</t>
  </si>
  <si>
    <t>J♠</t>
  </si>
  <si>
    <t>Q♠</t>
  </si>
  <si>
    <t>K♠</t>
  </si>
  <si>
    <t>A♥</t>
  </si>
  <si>
    <t>X♥</t>
  </si>
  <si>
    <t>J♥</t>
  </si>
  <si>
    <t>Q♥</t>
  </si>
  <si>
    <t>K♥</t>
  </si>
  <si>
    <t>A♣</t>
  </si>
  <si>
    <t>X♣</t>
  </si>
  <si>
    <t>J♣</t>
  </si>
  <si>
    <t>Q♣</t>
  </si>
  <si>
    <t>K♣</t>
  </si>
  <si>
    <t>A♦</t>
  </si>
  <si>
    <t>2♦</t>
  </si>
  <si>
    <t>3♦</t>
  </si>
  <si>
    <t>4♦</t>
  </si>
  <si>
    <t>5♦</t>
  </si>
  <si>
    <t>6♦</t>
  </si>
  <si>
    <t>7♦</t>
  </si>
  <si>
    <t>8♦</t>
  </si>
  <si>
    <t>9♦</t>
  </si>
  <si>
    <t>X♦</t>
  </si>
  <si>
    <t>J♦</t>
  </si>
  <si>
    <t>Q♦</t>
  </si>
  <si>
    <t>K♦</t>
  </si>
  <si>
    <t>Foundations in Memory</t>
  </si>
  <si>
    <t>Working Set in Memory</t>
  </si>
  <si>
    <t>Stockpile in Memory</t>
  </si>
  <si>
    <t>Pushing the "Next Card" button will draw from the stock pile and form a working set with the tableau of the same rank.</t>
  </si>
  <si>
    <t>Cards in the working set may be moved to empty tableaus that share their rank.</t>
  </si>
  <si>
    <t>Push the "Select" button next to or beneath the card you wish to move</t>
  </si>
  <si>
    <t>Push the "Move" button next to or beneath where you want to move the card.</t>
  </si>
  <si>
    <t>Pile Locked: No cards in  the stockpile share this tableau's rank.</t>
  </si>
  <si>
    <t>Wanna peak behind the curtain?   ---------&gt;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</si>
</sst>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36"/>
      <color theme="1"/>
      <name val="Symbol"/>
      <family val="1"/>
      <charset val="2"/>
    </font>
    <font>
      <sz val="36"/>
      <color rgb="FFFF0000"/>
      <name val="Symbol"/>
      <family val="1"/>
      <charset val="2"/>
    </font>
    <font>
      <b/>
      <sz val="26"/>
      <color theme="1"/>
      <name val="Aptos Narrow"/>
      <family val="2"/>
      <scheme val="minor"/>
    </font>
    <font>
      <sz val="11"/>
      <color rgb="FF202122"/>
      <name val="Arial"/>
      <family val="2"/>
    </font>
    <font>
      <sz val="11"/>
      <color rgb="FFFF0000"/>
      <name val="Arial"/>
      <family val="2"/>
    </font>
    <font>
      <b/>
      <sz val="20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theme="9" tint="0.3999755851924192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24"/>
      <color rgb="FFFF0000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u/>
      <sz val="48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24"/>
      <color rgb="FFFF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61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  <bgColor indexed="64"/>
      </patternFill>
    </fill>
  </fills>
  <borders count="9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9" tint="0.39997558519241921"/>
      </left>
      <right style="medium">
        <color theme="9" tint="0.39997558519241921"/>
      </right>
      <top style="medium">
        <color theme="9" tint="0.39997558519241921"/>
      </top>
      <bottom style="medium">
        <color theme="9" tint="0.39997558519241921"/>
      </bottom>
      <diagonal/>
    </border>
    <border>
      <left style="medium">
        <color theme="9" tint="0.39997558519241921"/>
      </left>
      <right style="medium">
        <color theme="9" tint="0.39997558519241921"/>
      </right>
      <top style="medium">
        <color theme="9" tint="0.3999755851924192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medium">
        <color theme="9" tint="0.39997558519241921"/>
      </right>
      <top style="medium">
        <color theme="9" tint="0.39997558519241921"/>
      </top>
      <bottom style="medium">
        <color theme="9" tint="0.39997558519241921"/>
      </bottom>
      <diagonal/>
    </border>
    <border>
      <left style="medium">
        <color theme="9" tint="0.39997558519241921"/>
      </left>
      <right/>
      <top style="medium">
        <color theme="9" tint="0.39997558519241921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theme="9" tint="0.39997558519241921"/>
      </right>
      <top style="medium">
        <color theme="9" tint="0.39997558519241921"/>
      </top>
      <bottom/>
      <diagonal/>
    </border>
    <border>
      <left/>
      <right/>
      <top/>
      <bottom style="medium">
        <color theme="9" tint="0.39997558519241921"/>
      </bottom>
      <diagonal/>
    </border>
  </borders>
  <cellStyleXfs count="1">
    <xf numFmtId="0" fontId="0" fillId="0" borderId="0"/>
  </cellStyleXfs>
  <cellXfs count="31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left"/>
    </xf>
    <xf numFmtId="0" fontId="0" fillId="0" borderId="13" xfId="0" applyBorder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horizontal="right"/>
    </xf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2" borderId="19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34" xfId="0" applyFill="1" applyBorder="1"/>
    <xf numFmtId="0" fontId="0" fillId="2" borderId="35" xfId="0" applyFill="1" applyBorder="1"/>
    <xf numFmtId="0" fontId="1" fillId="0" borderId="0" xfId="0" applyFont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4" borderId="26" xfId="0" applyFill="1" applyBorder="1"/>
    <xf numFmtId="0" fontId="0" fillId="4" borderId="27" xfId="0" applyFill="1" applyBorder="1"/>
    <xf numFmtId="0" fontId="0" fillId="4" borderId="28" xfId="0" applyFill="1" applyBorder="1"/>
    <xf numFmtId="0" fontId="0" fillId="4" borderId="29" xfId="0" applyFill="1" applyBorder="1"/>
    <xf numFmtId="0" fontId="7" fillId="4" borderId="30" xfId="0" applyFont="1" applyFill="1" applyBorder="1" applyAlignment="1">
      <alignment vertical="center"/>
    </xf>
    <xf numFmtId="0" fontId="0" fillId="4" borderId="31" xfId="0" applyFill="1" applyBorder="1"/>
    <xf numFmtId="0" fontId="0" fillId="4" borderId="32" xfId="0" applyFill="1" applyBorder="1"/>
    <xf numFmtId="0" fontId="0" fillId="4" borderId="33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2" xfId="0" applyBorder="1" applyAlignment="1">
      <alignment horizontal="left"/>
    </xf>
    <xf numFmtId="0" fontId="0" fillId="0" borderId="42" xfId="0" applyBorder="1"/>
    <xf numFmtId="0" fontId="1" fillId="0" borderId="47" xfId="0" applyFont="1" applyBorder="1"/>
    <xf numFmtId="0" fontId="0" fillId="0" borderId="48" xfId="0" applyBorder="1"/>
    <xf numFmtId="0" fontId="1" fillId="0" borderId="49" xfId="0" applyFont="1" applyBorder="1" applyAlignment="1">
      <alignment horizontal="center" vertical="center"/>
    </xf>
    <xf numFmtId="0" fontId="1" fillId="0" borderId="50" xfId="0" applyFont="1" applyBorder="1"/>
    <xf numFmtId="0" fontId="1" fillId="0" borderId="51" xfId="0" applyFont="1" applyBorder="1"/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/>
    <xf numFmtId="0" fontId="0" fillId="0" borderId="46" xfId="0" applyBorder="1"/>
    <xf numFmtId="0" fontId="0" fillId="0" borderId="54" xfId="0" applyBorder="1"/>
    <xf numFmtId="0" fontId="1" fillId="0" borderId="46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55" xfId="0" applyFont="1" applyBorder="1"/>
    <xf numFmtId="0" fontId="1" fillId="0" borderId="48" xfId="0" applyFont="1" applyBorder="1" applyAlignment="1">
      <alignment horizontal="center" vertical="center"/>
    </xf>
    <xf numFmtId="0" fontId="0" fillId="0" borderId="51" xfId="0" applyBorder="1"/>
    <xf numFmtId="0" fontId="0" fillId="0" borderId="53" xfId="0" applyBorder="1"/>
    <xf numFmtId="0" fontId="0" fillId="0" borderId="47" xfId="0" applyBorder="1"/>
    <xf numFmtId="0" fontId="0" fillId="0" borderId="55" xfId="0" applyBorder="1"/>
    <xf numFmtId="0" fontId="0" fillId="0" borderId="50" xfId="0" applyBorder="1"/>
    <xf numFmtId="0" fontId="0" fillId="0" borderId="42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10" fillId="0" borderId="43" xfId="0" applyFont="1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10" fillId="0" borderId="63" xfId="0" applyFont="1" applyBorder="1" applyAlignment="1">
      <alignment horizontal="center"/>
    </xf>
    <xf numFmtId="0" fontId="0" fillId="0" borderId="57" xfId="0" applyBorder="1" applyAlignment="1">
      <alignment horizontal="right"/>
    </xf>
    <xf numFmtId="0" fontId="1" fillId="0" borderId="58" xfId="0" applyFont="1" applyBorder="1"/>
    <xf numFmtId="0" fontId="1" fillId="0" borderId="60" xfId="0" applyFont="1" applyBorder="1"/>
    <xf numFmtId="0" fontId="1" fillId="0" borderId="62" xfId="0" applyFont="1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66" xfId="0" applyBorder="1"/>
    <xf numFmtId="0" fontId="0" fillId="0" borderId="67" xfId="0" applyBorder="1"/>
    <xf numFmtId="0" fontId="0" fillId="0" borderId="69" xfId="0" applyBorder="1"/>
    <xf numFmtId="0" fontId="0" fillId="0" borderId="70" xfId="0" applyBorder="1"/>
    <xf numFmtId="0" fontId="5" fillId="0" borderId="1" xfId="0" applyFont="1" applyBorder="1"/>
    <xf numFmtId="0" fontId="6" fillId="0" borderId="1" xfId="0" applyFont="1" applyBorder="1"/>
    <xf numFmtId="0" fontId="11" fillId="3" borderId="19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21" xfId="0" applyFont="1" applyFill="1" applyBorder="1" applyAlignment="1">
      <alignment vertical="center"/>
    </xf>
    <xf numFmtId="0" fontId="11" fillId="3" borderId="22" xfId="0" applyFont="1" applyFill="1" applyBorder="1" applyAlignment="1">
      <alignment vertical="center"/>
    </xf>
    <xf numFmtId="0" fontId="12" fillId="2" borderId="21" xfId="0" applyFont="1" applyFill="1" applyBorder="1" applyAlignment="1">
      <alignment vertical="center"/>
    </xf>
    <xf numFmtId="0" fontId="12" fillId="2" borderId="22" xfId="0" applyFont="1" applyFill="1" applyBorder="1" applyAlignment="1">
      <alignment vertical="center"/>
    </xf>
    <xf numFmtId="0" fontId="11" fillId="2" borderId="0" xfId="0" applyFont="1" applyFill="1" applyAlignment="1">
      <alignment vertical="center"/>
    </xf>
    <xf numFmtId="0" fontId="0" fillId="2" borderId="22" xfId="0" applyFill="1" applyBorder="1"/>
    <xf numFmtId="0" fontId="0" fillId="0" borderId="71" xfId="0" applyBorder="1" applyAlignment="1">
      <alignment horizontal="center"/>
    </xf>
    <xf numFmtId="0" fontId="0" fillId="0" borderId="71" xfId="0" applyBorder="1"/>
    <xf numFmtId="0" fontId="0" fillId="0" borderId="72" xfId="0" applyBorder="1"/>
    <xf numFmtId="0" fontId="10" fillId="0" borderId="72" xfId="0" applyFont="1" applyBorder="1"/>
    <xf numFmtId="0" fontId="0" fillId="0" borderId="73" xfId="0" applyBorder="1"/>
    <xf numFmtId="0" fontId="0" fillId="0" borderId="78" xfId="0" applyBorder="1"/>
    <xf numFmtId="0" fontId="0" fillId="0" borderId="68" xfId="0" applyBorder="1"/>
    <xf numFmtId="0" fontId="0" fillId="0" borderId="66" xfId="0" applyBorder="1" applyAlignment="1">
      <alignment horizontal="right"/>
    </xf>
    <xf numFmtId="0" fontId="0" fillId="0" borderId="67" xfId="0" applyBorder="1" applyAlignment="1">
      <alignment horizontal="center"/>
    </xf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0" fillId="0" borderId="77" xfId="0" applyBorder="1"/>
    <xf numFmtId="0" fontId="0" fillId="0" borderId="77" xfId="0" applyBorder="1" applyAlignment="1">
      <alignment horizontal="right"/>
    </xf>
    <xf numFmtId="0" fontId="0" fillId="0" borderId="84" xfId="0" applyBorder="1"/>
    <xf numFmtId="0" fontId="0" fillId="0" borderId="85" xfId="0" applyBorder="1"/>
    <xf numFmtId="0" fontId="0" fillId="0" borderId="84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67" xfId="0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86" xfId="0" applyBorder="1"/>
    <xf numFmtId="0" fontId="10" fillId="0" borderId="0" xfId="0" applyFont="1"/>
    <xf numFmtId="0" fontId="5" fillId="0" borderId="66" xfId="0" applyFont="1" applyBorder="1"/>
    <xf numFmtId="0" fontId="6" fillId="0" borderId="66" xfId="0" applyFont="1" applyBorder="1"/>
    <xf numFmtId="0" fontId="6" fillId="0" borderId="68" xfId="0" applyFont="1" applyBorder="1"/>
    <xf numFmtId="0" fontId="6" fillId="0" borderId="77" xfId="0" applyFont="1" applyBorder="1"/>
    <xf numFmtId="0" fontId="5" fillId="0" borderId="71" xfId="0" applyFont="1" applyBorder="1"/>
    <xf numFmtId="0" fontId="5" fillId="0" borderId="17" xfId="0" applyFont="1" applyBorder="1"/>
    <xf numFmtId="0" fontId="6" fillId="0" borderId="17" xfId="0" applyFont="1" applyBorder="1"/>
    <xf numFmtId="0" fontId="6" fillId="0" borderId="18" xfId="0" applyFont="1" applyBorder="1"/>
    <xf numFmtId="0" fontId="15" fillId="0" borderId="0" xfId="0" applyFont="1" applyAlignment="1">
      <alignment vertical="center" wrapText="1"/>
    </xf>
    <xf numFmtId="0" fontId="0" fillId="0" borderId="87" xfId="0" applyBorder="1"/>
    <xf numFmtId="0" fontId="10" fillId="0" borderId="0" xfId="0" applyFont="1" applyAlignment="1">
      <alignment horizontal="center"/>
    </xf>
    <xf numFmtId="0" fontId="0" fillId="0" borderId="90" xfId="0" applyBorder="1"/>
    <xf numFmtId="0" fontId="0" fillId="0" borderId="91" xfId="0" applyBorder="1"/>
    <xf numFmtId="0" fontId="5" fillId="0" borderId="87" xfId="0" applyFont="1" applyBorder="1"/>
    <xf numFmtId="0" fontId="6" fillId="0" borderId="88" xfId="0" applyFont="1" applyBorder="1"/>
    <xf numFmtId="0" fontId="5" fillId="0" borderId="88" xfId="0" applyFont="1" applyBorder="1"/>
    <xf numFmtId="0" fontId="6" fillId="0" borderId="89" xfId="0" applyFont="1" applyBorder="1"/>
    <xf numFmtId="0" fontId="1" fillId="2" borderId="0" xfId="0" applyFont="1" applyFill="1" applyAlignment="1">
      <alignment vertical="center"/>
    </xf>
    <xf numFmtId="0" fontId="0" fillId="2" borderId="14" xfId="0" applyFill="1" applyBorder="1"/>
    <xf numFmtId="0" fontId="0" fillId="2" borderId="5" xfId="0" applyFill="1" applyBorder="1"/>
    <xf numFmtId="0" fontId="0" fillId="2" borderId="6" xfId="0" applyFill="1" applyBorder="1"/>
    <xf numFmtId="0" fontId="0" fillId="7" borderId="5" xfId="0" applyFill="1" applyBorder="1"/>
    <xf numFmtId="0" fontId="0" fillId="7" borderId="6" xfId="0" applyFill="1" applyBorder="1"/>
    <xf numFmtId="0" fontId="0" fillId="8" borderId="5" xfId="0" applyFill="1" applyBorder="1"/>
    <xf numFmtId="0" fontId="0" fillId="8" borderId="6" xfId="0" applyFill="1" applyBorder="1"/>
    <xf numFmtId="0" fontId="0" fillId="9" borderId="5" xfId="0" applyFill="1" applyBorder="1"/>
    <xf numFmtId="0" fontId="0" fillId="9" borderId="6" xfId="0" applyFill="1" applyBorder="1"/>
    <xf numFmtId="0" fontId="22" fillId="10" borderId="0" xfId="0" applyFont="1" applyFill="1" applyAlignment="1">
      <alignment horizontal="center"/>
    </xf>
    <xf numFmtId="0" fontId="0" fillId="2" borderId="93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 applyAlignment="1">
      <alignment horizontal="right"/>
    </xf>
    <xf numFmtId="0" fontId="0" fillId="2" borderId="29" xfId="0" applyFill="1" applyBorder="1"/>
    <xf numFmtId="0" fontId="0" fillId="2" borderId="0" xfId="0" applyFill="1" applyAlignment="1">
      <alignment horizontal="right"/>
    </xf>
    <xf numFmtId="0" fontId="0" fillId="2" borderId="15" xfId="0" applyFill="1" applyBorder="1"/>
    <xf numFmtId="0" fontId="0" fillId="2" borderId="7" xfId="0" applyFill="1" applyBorder="1"/>
    <xf numFmtId="0" fontId="0" fillId="2" borderId="13" xfId="0" applyFill="1" applyBorder="1" applyAlignment="1">
      <alignment horizontal="right"/>
    </xf>
    <xf numFmtId="0" fontId="0" fillId="2" borderId="12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14" xfId="0" applyFill="1" applyBorder="1" applyAlignment="1">
      <alignment horizontal="right"/>
    </xf>
    <xf numFmtId="0" fontId="0" fillId="2" borderId="15" xfId="0" applyFill="1" applyBorder="1" applyAlignment="1">
      <alignment horizontal="right"/>
    </xf>
    <xf numFmtId="0" fontId="0" fillId="2" borderId="5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0" borderId="5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2" borderId="11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94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21" xfId="0" applyFill="1" applyBorder="1" applyAlignment="1">
      <alignment horizontal="left" indent="1"/>
    </xf>
    <xf numFmtId="0" fontId="0" fillId="2" borderId="23" xfId="0" applyFill="1" applyBorder="1"/>
    <xf numFmtId="0" fontId="0" fillId="2" borderId="19" xfId="0" applyFill="1" applyBorder="1" applyAlignment="1">
      <alignment horizontal="left" indent="1"/>
    </xf>
    <xf numFmtId="0" fontId="0" fillId="2" borderId="20" xfId="0" applyFill="1" applyBorder="1"/>
    <xf numFmtId="0" fontId="1" fillId="2" borderId="16" xfId="0" applyFont="1" applyFill="1" applyBorder="1"/>
    <xf numFmtId="0" fontId="1" fillId="2" borderId="16" xfId="0" applyFont="1" applyFill="1" applyBorder="1" applyAlignment="1">
      <alignment horizontal="left"/>
    </xf>
    <xf numFmtId="0" fontId="1" fillId="2" borderId="0" xfId="0" applyFont="1" applyFill="1"/>
    <xf numFmtId="0" fontId="20" fillId="2" borderId="0" xfId="0" applyFont="1" applyFill="1" applyAlignment="1">
      <alignment horizontal="left" wrapText="1"/>
    </xf>
    <xf numFmtId="0" fontId="7" fillId="5" borderId="26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3" xfId="0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/>
    </xf>
    <xf numFmtId="0" fontId="9" fillId="2" borderId="28" xfId="0" applyFont="1" applyFill="1" applyBorder="1" applyAlignment="1">
      <alignment horizontal="center"/>
    </xf>
    <xf numFmtId="0" fontId="9" fillId="2" borderId="31" xfId="0" applyFont="1" applyFill="1" applyBorder="1" applyAlignment="1">
      <alignment horizontal="center"/>
    </xf>
    <xf numFmtId="0" fontId="9" fillId="2" borderId="33" xfId="0" applyFont="1" applyFill="1" applyBorder="1" applyAlignment="1">
      <alignment horizontal="center"/>
    </xf>
    <xf numFmtId="0" fontId="17" fillId="3" borderId="26" xfId="0" applyFont="1" applyFill="1" applyBorder="1" applyAlignment="1">
      <alignment horizontal="center" vertical="center"/>
    </xf>
    <xf numFmtId="0" fontId="17" fillId="3" borderId="27" xfId="0" applyFont="1" applyFill="1" applyBorder="1" applyAlignment="1">
      <alignment horizontal="center" vertical="center"/>
    </xf>
    <xf numFmtId="0" fontId="17" fillId="3" borderId="28" xfId="0" applyFont="1" applyFill="1" applyBorder="1" applyAlignment="1">
      <alignment horizontal="center" vertical="center"/>
    </xf>
    <xf numFmtId="0" fontId="17" fillId="3" borderId="31" xfId="0" applyFont="1" applyFill="1" applyBorder="1" applyAlignment="1">
      <alignment horizontal="center" vertical="center"/>
    </xf>
    <xf numFmtId="0" fontId="17" fillId="3" borderId="32" xfId="0" applyFont="1" applyFill="1" applyBorder="1" applyAlignment="1">
      <alignment horizontal="center" vertical="center"/>
    </xf>
    <xf numFmtId="0" fontId="17" fillId="3" borderId="33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7" xfId="0" applyFont="1" applyFill="1" applyBorder="1" applyAlignment="1">
      <alignment horizontal="center" vertical="center"/>
    </xf>
    <xf numFmtId="0" fontId="19" fillId="3" borderId="18" xfId="0" applyFont="1" applyFill="1" applyBorder="1" applyAlignment="1">
      <alignment horizontal="center" vertical="center"/>
    </xf>
    <xf numFmtId="0" fontId="19" fillId="3" borderId="21" xfId="0" applyFont="1" applyFill="1" applyBorder="1" applyAlignment="1">
      <alignment horizontal="center" vertical="center"/>
    </xf>
    <xf numFmtId="0" fontId="19" fillId="3" borderId="22" xfId="0" applyFont="1" applyFill="1" applyBorder="1" applyAlignment="1">
      <alignment horizontal="center" vertical="center"/>
    </xf>
    <xf numFmtId="0" fontId="19" fillId="3" borderId="23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3" fillId="3" borderId="18" xfId="0" applyFont="1" applyFill="1" applyBorder="1" applyAlignment="1">
      <alignment horizontal="center" vertical="center"/>
    </xf>
    <xf numFmtId="0" fontId="13" fillId="3" borderId="21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13" fillId="3" borderId="23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/>
    </xf>
    <xf numFmtId="0" fontId="9" fillId="2" borderId="17" xfId="0" applyFont="1" applyFill="1" applyBorder="1" applyAlignment="1">
      <alignment horizontal="center"/>
    </xf>
    <xf numFmtId="0" fontId="9" fillId="2" borderId="18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9" fillId="2" borderId="22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18" fillId="3" borderId="16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8" fillId="3" borderId="21" xfId="0" applyFont="1" applyFill="1" applyBorder="1" applyAlignment="1">
      <alignment horizontal="center" vertical="center"/>
    </xf>
    <xf numFmtId="0" fontId="18" fillId="3" borderId="22" xfId="0" applyFont="1" applyFill="1" applyBorder="1" applyAlignment="1">
      <alignment horizontal="center" vertical="center"/>
    </xf>
    <xf numFmtId="0" fontId="18" fillId="3" borderId="2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8" fillId="6" borderId="16" xfId="0" applyFont="1" applyFill="1" applyBorder="1" applyAlignment="1">
      <alignment horizontal="center" wrapText="1"/>
    </xf>
    <xf numFmtId="0" fontId="8" fillId="6" borderId="17" xfId="0" applyFont="1" applyFill="1" applyBorder="1" applyAlignment="1">
      <alignment horizontal="center" wrapText="1"/>
    </xf>
    <xf numFmtId="0" fontId="8" fillId="6" borderId="18" xfId="0" applyFont="1" applyFill="1" applyBorder="1" applyAlignment="1">
      <alignment horizontal="center" wrapText="1"/>
    </xf>
    <xf numFmtId="0" fontId="8" fillId="6" borderId="19" xfId="0" applyFont="1" applyFill="1" applyBorder="1" applyAlignment="1">
      <alignment horizontal="center" wrapText="1"/>
    </xf>
    <xf numFmtId="0" fontId="8" fillId="6" borderId="0" xfId="0" applyFont="1" applyFill="1" applyAlignment="1">
      <alignment horizontal="center" wrapText="1"/>
    </xf>
    <xf numFmtId="0" fontId="8" fillId="6" borderId="20" xfId="0" applyFont="1" applyFill="1" applyBorder="1" applyAlignment="1">
      <alignment horizontal="center" wrapText="1"/>
    </xf>
    <xf numFmtId="0" fontId="8" fillId="6" borderId="21" xfId="0" applyFont="1" applyFill="1" applyBorder="1" applyAlignment="1">
      <alignment horizontal="center" wrapText="1"/>
    </xf>
    <xf numFmtId="0" fontId="8" fillId="6" borderId="22" xfId="0" applyFont="1" applyFill="1" applyBorder="1" applyAlignment="1">
      <alignment horizontal="center" wrapText="1"/>
    </xf>
    <xf numFmtId="0" fontId="8" fillId="6" borderId="23" xfId="0" applyFont="1" applyFill="1" applyBorder="1" applyAlignment="1">
      <alignment horizontal="center" wrapText="1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8" fillId="6" borderId="16" xfId="0" applyFont="1" applyFill="1" applyBorder="1" applyAlignment="1">
      <alignment horizontal="center" vertical="center" wrapText="1"/>
    </xf>
    <xf numFmtId="0" fontId="8" fillId="6" borderId="17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9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 wrapText="1"/>
    </xf>
    <xf numFmtId="0" fontId="8" fillId="6" borderId="20" xfId="0" applyFont="1" applyFill="1" applyBorder="1" applyAlignment="1">
      <alignment horizontal="center" vertical="center" wrapText="1"/>
    </xf>
    <xf numFmtId="0" fontId="8" fillId="6" borderId="21" xfId="0" applyFont="1" applyFill="1" applyBorder="1" applyAlignment="1">
      <alignment horizontal="center" vertical="center" wrapText="1"/>
    </xf>
    <xf numFmtId="0" fontId="8" fillId="6" borderId="22" xfId="0" applyFont="1" applyFill="1" applyBorder="1" applyAlignment="1">
      <alignment horizontal="center" vertical="center" wrapText="1"/>
    </xf>
    <xf numFmtId="0" fontId="8" fillId="6" borderId="23" xfId="0" applyFont="1" applyFill="1" applyBorder="1" applyAlignment="1">
      <alignment horizontal="center" vertical="center" wrapText="1"/>
    </xf>
    <xf numFmtId="0" fontId="0" fillId="0" borderId="71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6" xfId="0" applyBorder="1" applyAlignment="1">
      <alignment horizontal="center"/>
    </xf>
    <xf numFmtId="0" fontId="1" fillId="0" borderId="64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22" xfId="0" applyBorder="1" applyAlignment="1">
      <alignment horizontal="center"/>
    </xf>
    <xf numFmtId="0" fontId="15" fillId="6" borderId="16" xfId="0" applyFont="1" applyFill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/>
    </xf>
    <xf numFmtId="0" fontId="15" fillId="6" borderId="18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90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</cellXfs>
  <cellStyles count="1">
    <cellStyle name="Normal" xfId="0" builtinId="0"/>
  </cellStyles>
  <dxfs count="117"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6100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0</xdr:colOff>
      <xdr:row>1</xdr:row>
      <xdr:rowOff>0</xdr:rowOff>
    </xdr:from>
    <xdr:to>
      <xdr:col>56</xdr:col>
      <xdr:colOff>0</xdr:colOff>
      <xdr:row>3</xdr:row>
      <xdr:rowOff>0</xdr:rowOff>
    </xdr:to>
    <xdr:sp macro="[0]!showDevView" textlink="">
      <xdr:nvSpPr>
        <xdr:cNvPr id="2" name="Rectangle 1">
          <a:extLst>
            <a:ext uri="{FF2B5EF4-FFF2-40B4-BE49-F238E27FC236}">
              <a16:creationId xmlns:a16="http://schemas.microsoft.com/office/drawing/2014/main" id="{80FFF3A8-B99F-4B53-B9BA-6295CBA83687}"/>
            </a:ext>
          </a:extLst>
        </xdr:cNvPr>
        <xdr:cNvSpPr/>
      </xdr:nvSpPr>
      <xdr:spPr>
        <a:xfrm>
          <a:off x="8953500" y="200025"/>
          <a:ext cx="1714500" cy="390525"/>
        </a:xfrm>
        <a:prstGeom prst="rect">
          <a:avLst/>
        </a:prstGeom>
        <a:noFill/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800" b="1"/>
            <a:t>Show Dev View</a:t>
          </a:r>
        </a:p>
      </xdr:txBody>
    </xdr:sp>
    <xdr:clientData/>
  </xdr:twoCellAnchor>
  <xdr:twoCellAnchor>
    <xdr:from>
      <xdr:col>57</xdr:col>
      <xdr:colOff>0</xdr:colOff>
      <xdr:row>1</xdr:row>
      <xdr:rowOff>0</xdr:rowOff>
    </xdr:from>
    <xdr:to>
      <xdr:col>66</xdr:col>
      <xdr:colOff>0</xdr:colOff>
      <xdr:row>3</xdr:row>
      <xdr:rowOff>0</xdr:rowOff>
    </xdr:to>
    <xdr:sp macro="[0]!hideDevView" textlink="">
      <xdr:nvSpPr>
        <xdr:cNvPr id="5" name="Rectangle 4">
          <a:extLst>
            <a:ext uri="{FF2B5EF4-FFF2-40B4-BE49-F238E27FC236}">
              <a16:creationId xmlns:a16="http://schemas.microsoft.com/office/drawing/2014/main" id="{62864185-C8DE-4AFC-91CA-5A4666267AB5}"/>
            </a:ext>
          </a:extLst>
        </xdr:cNvPr>
        <xdr:cNvSpPr/>
      </xdr:nvSpPr>
      <xdr:spPr>
        <a:xfrm>
          <a:off x="10858500" y="200025"/>
          <a:ext cx="1714500" cy="390525"/>
        </a:xfrm>
        <a:prstGeom prst="rect">
          <a:avLst/>
        </a:prstGeom>
        <a:noFill/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800" b="1"/>
            <a:t>Hide Dev View</a:t>
          </a: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14</xdr:col>
      <xdr:colOff>0</xdr:colOff>
      <xdr:row>32</xdr:row>
      <xdr:rowOff>0</xdr:rowOff>
    </xdr:to>
    <xdr:sp macro="[0]!goToGame" textlink="">
      <xdr:nvSpPr>
        <xdr:cNvPr id="6" name="Rectangle 5">
          <a:extLst>
            <a:ext uri="{FF2B5EF4-FFF2-40B4-BE49-F238E27FC236}">
              <a16:creationId xmlns:a16="http://schemas.microsoft.com/office/drawing/2014/main" id="{E1985500-1D49-4B37-866C-14296EF76A4E}"/>
            </a:ext>
          </a:extLst>
        </xdr:cNvPr>
        <xdr:cNvSpPr/>
      </xdr:nvSpPr>
      <xdr:spPr>
        <a:xfrm>
          <a:off x="190500" y="5619750"/>
          <a:ext cx="2476500" cy="571500"/>
        </a:xfrm>
        <a:prstGeom prst="rect">
          <a:avLst/>
        </a:prstGeom>
        <a:solidFill>
          <a:schemeClr val="bg2">
            <a:lumMod val="25000"/>
          </a:schemeClr>
        </a:solidFill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800" b="1">
              <a:solidFill>
                <a:schemeClr val="bg1"/>
              </a:solidFill>
            </a:rPr>
            <a:t>Play: 13 Packs Solitaire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32</xdr:row>
      <xdr:rowOff>0</xdr:rowOff>
    </xdr:from>
    <xdr:to>
      <xdr:col>10</xdr:col>
      <xdr:colOff>0</xdr:colOff>
      <xdr:row>35</xdr:row>
      <xdr:rowOff>188820</xdr:rowOff>
    </xdr:to>
    <xdr:sp macro="[0]!Draw_from_Exile" textlink="">
      <xdr:nvSpPr>
        <xdr:cNvPr id="3" name="Rectangle 2">
          <a:extLst>
            <a:ext uri="{FF2B5EF4-FFF2-40B4-BE49-F238E27FC236}">
              <a16:creationId xmlns:a16="http://schemas.microsoft.com/office/drawing/2014/main" id="{E36AAED3-D926-4D30-8E23-49CCA139320D}"/>
            </a:ext>
          </a:extLst>
        </xdr:cNvPr>
        <xdr:cNvSpPr/>
      </xdr:nvSpPr>
      <xdr:spPr>
        <a:xfrm>
          <a:off x="1143000" y="6096000"/>
          <a:ext cx="762000" cy="76032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800" b="1"/>
            <a:t>Draw</a:t>
          </a:r>
        </a:p>
        <a:p>
          <a:pPr algn="ctr"/>
          <a:r>
            <a:rPr lang="en-US" sz="1800" b="1"/>
            <a:t>Card</a:t>
          </a:r>
        </a:p>
      </xdr:txBody>
    </xdr:sp>
    <xdr:clientData/>
  </xdr:twoCellAnchor>
  <xdr:twoCellAnchor>
    <xdr:from>
      <xdr:col>17</xdr:col>
      <xdr:colOff>0</xdr:colOff>
      <xdr:row>4</xdr:row>
      <xdr:rowOff>0</xdr:rowOff>
    </xdr:from>
    <xdr:to>
      <xdr:col>19</xdr:col>
      <xdr:colOff>0</xdr:colOff>
      <xdr:row>6</xdr:row>
      <xdr:rowOff>1</xdr:rowOff>
    </xdr:to>
    <xdr:sp macro="[0]!select_WS_1" textlink="">
      <xdr:nvSpPr>
        <xdr:cNvPr id="45" name="Rectangle 44">
          <a:extLst>
            <a:ext uri="{FF2B5EF4-FFF2-40B4-BE49-F238E27FC236}">
              <a16:creationId xmlns:a16="http://schemas.microsoft.com/office/drawing/2014/main" id="{5DE6E00E-F494-4528-A558-2B8AE8159CF1}"/>
            </a:ext>
          </a:extLst>
        </xdr:cNvPr>
        <xdr:cNvSpPr/>
      </xdr:nvSpPr>
      <xdr:spPr>
        <a:xfrm>
          <a:off x="3619500" y="762000"/>
          <a:ext cx="381000" cy="381001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27</xdr:col>
      <xdr:colOff>0</xdr:colOff>
      <xdr:row>3</xdr:row>
      <xdr:rowOff>0</xdr:rowOff>
    </xdr:to>
    <xdr:sp macro="[0]!Deal_Cards_13_Packs" textlink="">
      <xdr:nvSpPr>
        <xdr:cNvPr id="47" name="Rectangle 46">
          <a:extLst>
            <a:ext uri="{FF2B5EF4-FFF2-40B4-BE49-F238E27FC236}">
              <a16:creationId xmlns:a16="http://schemas.microsoft.com/office/drawing/2014/main" id="{7E40AAB7-600C-4EC4-A307-5184C1D96AC9}"/>
            </a:ext>
          </a:extLst>
        </xdr:cNvPr>
        <xdr:cNvSpPr/>
      </xdr:nvSpPr>
      <xdr:spPr>
        <a:xfrm>
          <a:off x="3238500" y="190500"/>
          <a:ext cx="1905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800" b="1"/>
            <a:t>New</a:t>
          </a:r>
          <a:r>
            <a:rPr lang="en-US" sz="1400" baseline="0"/>
            <a:t> </a:t>
          </a:r>
          <a:r>
            <a:rPr lang="en-US" sz="1800" b="1" baseline="0"/>
            <a:t>Game</a:t>
          </a:r>
          <a:endParaRPr lang="en-US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19</xdr:col>
      <xdr:colOff>0</xdr:colOff>
      <xdr:row>8</xdr:row>
      <xdr:rowOff>22412</xdr:rowOff>
    </xdr:to>
    <xdr:sp macro="[0]!select_WS_2" textlink="">
      <xdr:nvSpPr>
        <xdr:cNvPr id="48" name="Rectangle 47">
          <a:extLst>
            <a:ext uri="{FF2B5EF4-FFF2-40B4-BE49-F238E27FC236}">
              <a16:creationId xmlns:a16="http://schemas.microsoft.com/office/drawing/2014/main" id="{CFF768D7-BBE1-410C-8630-EB5853DFBC94}"/>
            </a:ext>
          </a:extLst>
        </xdr:cNvPr>
        <xdr:cNvSpPr/>
      </xdr:nvSpPr>
      <xdr:spPr>
        <a:xfrm>
          <a:off x="3619500" y="1143000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8</xdr:row>
      <xdr:rowOff>0</xdr:rowOff>
    </xdr:from>
    <xdr:to>
      <xdr:col>19</xdr:col>
      <xdr:colOff>0</xdr:colOff>
      <xdr:row>10</xdr:row>
      <xdr:rowOff>22412</xdr:rowOff>
    </xdr:to>
    <xdr:sp macro="[0]!select_WS_3" textlink="">
      <xdr:nvSpPr>
        <xdr:cNvPr id="50" name="Rectangle 49">
          <a:extLst>
            <a:ext uri="{FF2B5EF4-FFF2-40B4-BE49-F238E27FC236}">
              <a16:creationId xmlns:a16="http://schemas.microsoft.com/office/drawing/2014/main" id="{58F62B43-0ED2-4214-87A7-9C30E177CE12}"/>
            </a:ext>
          </a:extLst>
        </xdr:cNvPr>
        <xdr:cNvSpPr/>
      </xdr:nvSpPr>
      <xdr:spPr>
        <a:xfrm>
          <a:off x="3619500" y="1524000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19</xdr:col>
      <xdr:colOff>0</xdr:colOff>
      <xdr:row>12</xdr:row>
      <xdr:rowOff>0</xdr:rowOff>
    </xdr:to>
    <xdr:sp macro="[0]!select_WS_4" textlink="">
      <xdr:nvSpPr>
        <xdr:cNvPr id="52" name="Rectangle 51">
          <a:extLst>
            <a:ext uri="{FF2B5EF4-FFF2-40B4-BE49-F238E27FC236}">
              <a16:creationId xmlns:a16="http://schemas.microsoft.com/office/drawing/2014/main" id="{4EB0DB52-455C-4922-AB31-08884697AEDF}"/>
            </a:ext>
          </a:extLst>
        </xdr:cNvPr>
        <xdr:cNvSpPr/>
      </xdr:nvSpPr>
      <xdr:spPr>
        <a:xfrm>
          <a:off x="3619500" y="1905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12</xdr:row>
      <xdr:rowOff>0</xdr:rowOff>
    </xdr:from>
    <xdr:to>
      <xdr:col>19</xdr:col>
      <xdr:colOff>0</xdr:colOff>
      <xdr:row>14</xdr:row>
      <xdr:rowOff>0</xdr:rowOff>
    </xdr:to>
    <xdr:sp macro="[0]!select_WS_5" textlink="">
      <xdr:nvSpPr>
        <xdr:cNvPr id="54" name="Rectangle 53">
          <a:extLst>
            <a:ext uri="{FF2B5EF4-FFF2-40B4-BE49-F238E27FC236}">
              <a16:creationId xmlns:a16="http://schemas.microsoft.com/office/drawing/2014/main" id="{E5649903-0CE4-4022-A16B-0C02D1BCCF4F}"/>
            </a:ext>
          </a:extLst>
        </xdr:cNvPr>
        <xdr:cNvSpPr/>
      </xdr:nvSpPr>
      <xdr:spPr>
        <a:xfrm>
          <a:off x="3619500" y="2286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14</xdr:row>
      <xdr:rowOff>0</xdr:rowOff>
    </xdr:from>
    <xdr:to>
      <xdr:col>19</xdr:col>
      <xdr:colOff>0</xdr:colOff>
      <xdr:row>16</xdr:row>
      <xdr:rowOff>0</xdr:rowOff>
    </xdr:to>
    <xdr:sp macro="[0]!select_WS_6" textlink="">
      <xdr:nvSpPr>
        <xdr:cNvPr id="56" name="Rectangle 55">
          <a:extLst>
            <a:ext uri="{FF2B5EF4-FFF2-40B4-BE49-F238E27FC236}">
              <a16:creationId xmlns:a16="http://schemas.microsoft.com/office/drawing/2014/main" id="{CD3F78D8-2884-46DF-AC1A-A1A9FF020378}"/>
            </a:ext>
          </a:extLst>
        </xdr:cNvPr>
        <xdr:cNvSpPr/>
      </xdr:nvSpPr>
      <xdr:spPr>
        <a:xfrm>
          <a:off x="3619500" y="266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19</xdr:col>
      <xdr:colOff>0</xdr:colOff>
      <xdr:row>18</xdr:row>
      <xdr:rowOff>1</xdr:rowOff>
    </xdr:to>
    <xdr:sp macro="[0]!select_WS_7" textlink="">
      <xdr:nvSpPr>
        <xdr:cNvPr id="58" name="Rectangle 57">
          <a:extLst>
            <a:ext uri="{FF2B5EF4-FFF2-40B4-BE49-F238E27FC236}">
              <a16:creationId xmlns:a16="http://schemas.microsoft.com/office/drawing/2014/main" id="{02502ED1-F49D-4D5B-9390-4AB97B119951}"/>
            </a:ext>
          </a:extLst>
        </xdr:cNvPr>
        <xdr:cNvSpPr/>
      </xdr:nvSpPr>
      <xdr:spPr>
        <a:xfrm>
          <a:off x="3619500" y="3048000"/>
          <a:ext cx="381000" cy="381001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18</xdr:row>
      <xdr:rowOff>0</xdr:rowOff>
    </xdr:from>
    <xdr:to>
      <xdr:col>19</xdr:col>
      <xdr:colOff>0</xdr:colOff>
      <xdr:row>20</xdr:row>
      <xdr:rowOff>0</xdr:rowOff>
    </xdr:to>
    <xdr:sp macro="[0]!select_WS_8" textlink="">
      <xdr:nvSpPr>
        <xdr:cNvPr id="60" name="Rectangle 59">
          <a:extLst>
            <a:ext uri="{FF2B5EF4-FFF2-40B4-BE49-F238E27FC236}">
              <a16:creationId xmlns:a16="http://schemas.microsoft.com/office/drawing/2014/main" id="{9D0C4C75-F1BB-49A0-87B5-19CEE0A515A8}"/>
            </a:ext>
          </a:extLst>
        </xdr:cNvPr>
        <xdr:cNvSpPr/>
      </xdr:nvSpPr>
      <xdr:spPr>
        <a:xfrm>
          <a:off x="3619500" y="3429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20</xdr:row>
      <xdr:rowOff>0</xdr:rowOff>
    </xdr:from>
    <xdr:to>
      <xdr:col>19</xdr:col>
      <xdr:colOff>0</xdr:colOff>
      <xdr:row>22</xdr:row>
      <xdr:rowOff>0</xdr:rowOff>
    </xdr:to>
    <xdr:sp macro="[0]!select_WS_9" textlink="">
      <xdr:nvSpPr>
        <xdr:cNvPr id="62" name="Rectangle 61">
          <a:extLst>
            <a:ext uri="{FF2B5EF4-FFF2-40B4-BE49-F238E27FC236}">
              <a16:creationId xmlns:a16="http://schemas.microsoft.com/office/drawing/2014/main" id="{FDEF5234-EF3F-4AF5-B687-5E782CE8A663}"/>
            </a:ext>
          </a:extLst>
        </xdr:cNvPr>
        <xdr:cNvSpPr/>
      </xdr:nvSpPr>
      <xdr:spPr>
        <a:xfrm>
          <a:off x="3619500" y="3810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22</xdr:row>
      <xdr:rowOff>0</xdr:rowOff>
    </xdr:from>
    <xdr:to>
      <xdr:col>19</xdr:col>
      <xdr:colOff>0</xdr:colOff>
      <xdr:row>24</xdr:row>
      <xdr:rowOff>0</xdr:rowOff>
    </xdr:to>
    <xdr:sp macro="[0]!select_WS_10" textlink="">
      <xdr:nvSpPr>
        <xdr:cNvPr id="64" name="Rectangle 63">
          <a:extLst>
            <a:ext uri="{FF2B5EF4-FFF2-40B4-BE49-F238E27FC236}">
              <a16:creationId xmlns:a16="http://schemas.microsoft.com/office/drawing/2014/main" id="{29E953A4-9EAD-430D-8D0A-9D0AD8D6A146}"/>
            </a:ext>
          </a:extLst>
        </xdr:cNvPr>
        <xdr:cNvSpPr/>
      </xdr:nvSpPr>
      <xdr:spPr>
        <a:xfrm>
          <a:off x="3619500" y="4191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24</xdr:row>
      <xdr:rowOff>0</xdr:rowOff>
    </xdr:from>
    <xdr:to>
      <xdr:col>19</xdr:col>
      <xdr:colOff>0</xdr:colOff>
      <xdr:row>26</xdr:row>
      <xdr:rowOff>1</xdr:rowOff>
    </xdr:to>
    <xdr:sp macro="[0]!select_WS_11" textlink="">
      <xdr:nvSpPr>
        <xdr:cNvPr id="66" name="Rectangle 65">
          <a:extLst>
            <a:ext uri="{FF2B5EF4-FFF2-40B4-BE49-F238E27FC236}">
              <a16:creationId xmlns:a16="http://schemas.microsoft.com/office/drawing/2014/main" id="{01726AE9-8055-46F8-99AC-283B9F761922}"/>
            </a:ext>
          </a:extLst>
        </xdr:cNvPr>
        <xdr:cNvSpPr/>
      </xdr:nvSpPr>
      <xdr:spPr>
        <a:xfrm>
          <a:off x="3619500" y="4572000"/>
          <a:ext cx="381000" cy="381001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19</xdr:col>
      <xdr:colOff>0</xdr:colOff>
      <xdr:row>28</xdr:row>
      <xdr:rowOff>0</xdr:rowOff>
    </xdr:to>
    <xdr:sp macro="[0]!select_WS_12" textlink="">
      <xdr:nvSpPr>
        <xdr:cNvPr id="68" name="Rectangle 67">
          <a:extLst>
            <a:ext uri="{FF2B5EF4-FFF2-40B4-BE49-F238E27FC236}">
              <a16:creationId xmlns:a16="http://schemas.microsoft.com/office/drawing/2014/main" id="{436779F1-CD5E-49B8-828F-D90C6A3BCC3D}"/>
            </a:ext>
          </a:extLst>
        </xdr:cNvPr>
        <xdr:cNvSpPr/>
      </xdr:nvSpPr>
      <xdr:spPr>
        <a:xfrm>
          <a:off x="3619500" y="4953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28</xdr:row>
      <xdr:rowOff>0</xdr:rowOff>
    </xdr:from>
    <xdr:to>
      <xdr:col>19</xdr:col>
      <xdr:colOff>0</xdr:colOff>
      <xdr:row>30</xdr:row>
      <xdr:rowOff>0</xdr:rowOff>
    </xdr:to>
    <xdr:sp macro="[0]!select_WS_13" textlink="">
      <xdr:nvSpPr>
        <xdr:cNvPr id="70" name="Rectangle 69">
          <a:extLst>
            <a:ext uri="{FF2B5EF4-FFF2-40B4-BE49-F238E27FC236}">
              <a16:creationId xmlns:a16="http://schemas.microsoft.com/office/drawing/2014/main" id="{3F18971F-C0A2-424F-A590-0EBC43A50F58}"/>
            </a:ext>
          </a:extLst>
        </xdr:cNvPr>
        <xdr:cNvSpPr/>
      </xdr:nvSpPr>
      <xdr:spPr>
        <a:xfrm>
          <a:off x="3619500" y="5334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30</xdr:row>
      <xdr:rowOff>0</xdr:rowOff>
    </xdr:from>
    <xdr:to>
      <xdr:col>19</xdr:col>
      <xdr:colOff>0</xdr:colOff>
      <xdr:row>32</xdr:row>
      <xdr:rowOff>0</xdr:rowOff>
    </xdr:to>
    <xdr:sp macro="[0]!select_WS_14" textlink="">
      <xdr:nvSpPr>
        <xdr:cNvPr id="72" name="Rectangle 71">
          <a:extLst>
            <a:ext uri="{FF2B5EF4-FFF2-40B4-BE49-F238E27FC236}">
              <a16:creationId xmlns:a16="http://schemas.microsoft.com/office/drawing/2014/main" id="{6C503635-E6D7-466F-AF35-E644F214E303}"/>
            </a:ext>
          </a:extLst>
        </xdr:cNvPr>
        <xdr:cNvSpPr/>
      </xdr:nvSpPr>
      <xdr:spPr>
        <a:xfrm>
          <a:off x="3619500" y="5715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32</xdr:row>
      <xdr:rowOff>0</xdr:rowOff>
    </xdr:from>
    <xdr:to>
      <xdr:col>19</xdr:col>
      <xdr:colOff>0</xdr:colOff>
      <xdr:row>34</xdr:row>
      <xdr:rowOff>1</xdr:rowOff>
    </xdr:to>
    <xdr:sp macro="[0]!select_WS_15" textlink="">
      <xdr:nvSpPr>
        <xdr:cNvPr id="74" name="Rectangle 73">
          <a:extLst>
            <a:ext uri="{FF2B5EF4-FFF2-40B4-BE49-F238E27FC236}">
              <a16:creationId xmlns:a16="http://schemas.microsoft.com/office/drawing/2014/main" id="{DEE1E7D3-2330-4CAD-8CA3-CAC16D22A7EA}"/>
            </a:ext>
          </a:extLst>
        </xdr:cNvPr>
        <xdr:cNvSpPr/>
      </xdr:nvSpPr>
      <xdr:spPr>
        <a:xfrm>
          <a:off x="3619500" y="6096000"/>
          <a:ext cx="381000" cy="381001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34</xdr:row>
      <xdr:rowOff>0</xdr:rowOff>
    </xdr:from>
    <xdr:to>
      <xdr:col>19</xdr:col>
      <xdr:colOff>0</xdr:colOff>
      <xdr:row>36</xdr:row>
      <xdr:rowOff>0</xdr:rowOff>
    </xdr:to>
    <xdr:sp macro="[0]!select_WS_16" textlink="">
      <xdr:nvSpPr>
        <xdr:cNvPr id="76" name="Rectangle 75">
          <a:extLst>
            <a:ext uri="{FF2B5EF4-FFF2-40B4-BE49-F238E27FC236}">
              <a16:creationId xmlns:a16="http://schemas.microsoft.com/office/drawing/2014/main" id="{C82B19BB-1299-4C6E-89D9-233FB18F5F82}"/>
            </a:ext>
          </a:extLst>
        </xdr:cNvPr>
        <xdr:cNvSpPr/>
      </xdr:nvSpPr>
      <xdr:spPr>
        <a:xfrm>
          <a:off x="3619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21</xdr:col>
      <xdr:colOff>0</xdr:colOff>
      <xdr:row>6</xdr:row>
      <xdr:rowOff>0</xdr:rowOff>
    </xdr:to>
    <xdr:sp macro="[0]!moveToWSPosition_1" textlink="">
      <xdr:nvSpPr>
        <xdr:cNvPr id="85" name="Rectangle 84">
          <a:extLst>
            <a:ext uri="{FF2B5EF4-FFF2-40B4-BE49-F238E27FC236}">
              <a16:creationId xmlns:a16="http://schemas.microsoft.com/office/drawing/2014/main" id="{546D5397-5C27-4E8E-B7C4-3BF44F1B2BA8}"/>
            </a:ext>
          </a:extLst>
        </xdr:cNvPr>
        <xdr:cNvSpPr/>
      </xdr:nvSpPr>
      <xdr:spPr>
        <a:xfrm>
          <a:off x="4000500" y="762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29</xdr:col>
      <xdr:colOff>0</xdr:colOff>
      <xdr:row>34</xdr:row>
      <xdr:rowOff>0</xdr:rowOff>
    </xdr:from>
    <xdr:to>
      <xdr:col>31</xdr:col>
      <xdr:colOff>0</xdr:colOff>
      <xdr:row>36</xdr:row>
      <xdr:rowOff>0</xdr:rowOff>
    </xdr:to>
    <xdr:sp macro="[0]!select_pile_1" textlink="">
      <xdr:nvSpPr>
        <xdr:cNvPr id="106" name="Rectangle 105">
          <a:extLst>
            <a:ext uri="{FF2B5EF4-FFF2-40B4-BE49-F238E27FC236}">
              <a16:creationId xmlns:a16="http://schemas.microsoft.com/office/drawing/2014/main" id="{83C1BD9C-47C4-401A-B5A4-B7788C0D7F74}"/>
            </a:ext>
          </a:extLst>
        </xdr:cNvPr>
        <xdr:cNvSpPr/>
      </xdr:nvSpPr>
      <xdr:spPr>
        <a:xfrm>
          <a:off x="6477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31</xdr:col>
      <xdr:colOff>0</xdr:colOff>
      <xdr:row>34</xdr:row>
      <xdr:rowOff>0</xdr:rowOff>
    </xdr:from>
    <xdr:to>
      <xdr:col>33</xdr:col>
      <xdr:colOff>0</xdr:colOff>
      <xdr:row>36</xdr:row>
      <xdr:rowOff>0</xdr:rowOff>
    </xdr:to>
    <xdr:sp macro="[0]!moveToPile" textlink="">
      <xdr:nvSpPr>
        <xdr:cNvPr id="107" name="Rectangle 106">
          <a:extLst>
            <a:ext uri="{FF2B5EF4-FFF2-40B4-BE49-F238E27FC236}">
              <a16:creationId xmlns:a16="http://schemas.microsoft.com/office/drawing/2014/main" id="{DF46E1B0-4AA7-4869-8A64-722E011413A2}"/>
            </a:ext>
          </a:extLst>
        </xdr:cNvPr>
        <xdr:cNvSpPr/>
      </xdr:nvSpPr>
      <xdr:spPr>
        <a:xfrm>
          <a:off x="6858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34</xdr:col>
      <xdr:colOff>0</xdr:colOff>
      <xdr:row>34</xdr:row>
      <xdr:rowOff>0</xdr:rowOff>
    </xdr:from>
    <xdr:to>
      <xdr:col>36</xdr:col>
      <xdr:colOff>0</xdr:colOff>
      <xdr:row>36</xdr:row>
      <xdr:rowOff>0</xdr:rowOff>
    </xdr:to>
    <xdr:sp macro="[0]!select_pile_2" textlink="">
      <xdr:nvSpPr>
        <xdr:cNvPr id="108" name="Rectangle 107">
          <a:extLst>
            <a:ext uri="{FF2B5EF4-FFF2-40B4-BE49-F238E27FC236}">
              <a16:creationId xmlns:a16="http://schemas.microsoft.com/office/drawing/2014/main" id="{2BC88239-B90C-4789-850E-65B442750E49}"/>
            </a:ext>
          </a:extLst>
        </xdr:cNvPr>
        <xdr:cNvSpPr/>
      </xdr:nvSpPr>
      <xdr:spPr>
        <a:xfrm>
          <a:off x="7429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36</xdr:col>
      <xdr:colOff>0</xdr:colOff>
      <xdr:row>34</xdr:row>
      <xdr:rowOff>0</xdr:rowOff>
    </xdr:from>
    <xdr:to>
      <xdr:col>38</xdr:col>
      <xdr:colOff>0</xdr:colOff>
      <xdr:row>36</xdr:row>
      <xdr:rowOff>0</xdr:rowOff>
    </xdr:to>
    <xdr:sp macro="[0]!moveToPile" textlink="">
      <xdr:nvSpPr>
        <xdr:cNvPr id="109" name="Rectangle 108">
          <a:extLst>
            <a:ext uri="{FF2B5EF4-FFF2-40B4-BE49-F238E27FC236}">
              <a16:creationId xmlns:a16="http://schemas.microsoft.com/office/drawing/2014/main" id="{9815C1BC-9FD4-407D-808D-D04215EAFDA9}"/>
            </a:ext>
          </a:extLst>
        </xdr:cNvPr>
        <xdr:cNvSpPr/>
      </xdr:nvSpPr>
      <xdr:spPr>
        <a:xfrm>
          <a:off x="7810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39</xdr:col>
      <xdr:colOff>0</xdr:colOff>
      <xdr:row>34</xdr:row>
      <xdr:rowOff>0</xdr:rowOff>
    </xdr:from>
    <xdr:to>
      <xdr:col>41</xdr:col>
      <xdr:colOff>0</xdr:colOff>
      <xdr:row>36</xdr:row>
      <xdr:rowOff>0</xdr:rowOff>
    </xdr:to>
    <xdr:sp macro="[0]!select_pile_3" textlink="">
      <xdr:nvSpPr>
        <xdr:cNvPr id="110" name="Rectangle 109">
          <a:extLst>
            <a:ext uri="{FF2B5EF4-FFF2-40B4-BE49-F238E27FC236}">
              <a16:creationId xmlns:a16="http://schemas.microsoft.com/office/drawing/2014/main" id="{2AEB81FF-6F3D-475A-A607-8AE456E5C20E}"/>
            </a:ext>
          </a:extLst>
        </xdr:cNvPr>
        <xdr:cNvSpPr/>
      </xdr:nvSpPr>
      <xdr:spPr>
        <a:xfrm>
          <a:off x="8382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41</xdr:col>
      <xdr:colOff>0</xdr:colOff>
      <xdr:row>34</xdr:row>
      <xdr:rowOff>0</xdr:rowOff>
    </xdr:from>
    <xdr:to>
      <xdr:col>43</xdr:col>
      <xdr:colOff>0</xdr:colOff>
      <xdr:row>36</xdr:row>
      <xdr:rowOff>0</xdr:rowOff>
    </xdr:to>
    <xdr:sp macro="[0]!moveToPile" textlink="">
      <xdr:nvSpPr>
        <xdr:cNvPr id="111" name="Rectangle 110">
          <a:extLst>
            <a:ext uri="{FF2B5EF4-FFF2-40B4-BE49-F238E27FC236}">
              <a16:creationId xmlns:a16="http://schemas.microsoft.com/office/drawing/2014/main" id="{E62BA709-DEF2-4F69-8A72-4EE383475EBF}"/>
            </a:ext>
          </a:extLst>
        </xdr:cNvPr>
        <xdr:cNvSpPr/>
      </xdr:nvSpPr>
      <xdr:spPr>
        <a:xfrm>
          <a:off x="8763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44</xdr:col>
      <xdr:colOff>0</xdr:colOff>
      <xdr:row>34</xdr:row>
      <xdr:rowOff>0</xdr:rowOff>
    </xdr:from>
    <xdr:to>
      <xdr:col>46</xdr:col>
      <xdr:colOff>0</xdr:colOff>
      <xdr:row>36</xdr:row>
      <xdr:rowOff>0</xdr:rowOff>
    </xdr:to>
    <xdr:sp macro="[0]!select_pile_4" textlink="">
      <xdr:nvSpPr>
        <xdr:cNvPr id="112" name="Rectangle 111">
          <a:extLst>
            <a:ext uri="{FF2B5EF4-FFF2-40B4-BE49-F238E27FC236}">
              <a16:creationId xmlns:a16="http://schemas.microsoft.com/office/drawing/2014/main" id="{A669A654-91B9-4AAB-A05E-CAF04C295C3B}"/>
            </a:ext>
          </a:extLst>
        </xdr:cNvPr>
        <xdr:cNvSpPr/>
      </xdr:nvSpPr>
      <xdr:spPr>
        <a:xfrm>
          <a:off x="9334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46</xdr:col>
      <xdr:colOff>0</xdr:colOff>
      <xdr:row>34</xdr:row>
      <xdr:rowOff>0</xdr:rowOff>
    </xdr:from>
    <xdr:to>
      <xdr:col>48</xdr:col>
      <xdr:colOff>0</xdr:colOff>
      <xdr:row>36</xdr:row>
      <xdr:rowOff>0</xdr:rowOff>
    </xdr:to>
    <xdr:sp macro="[0]!moveToPile" textlink="">
      <xdr:nvSpPr>
        <xdr:cNvPr id="113" name="Rectangle 112">
          <a:extLst>
            <a:ext uri="{FF2B5EF4-FFF2-40B4-BE49-F238E27FC236}">
              <a16:creationId xmlns:a16="http://schemas.microsoft.com/office/drawing/2014/main" id="{7353A414-6179-47F1-9664-37083FACEA7B}"/>
            </a:ext>
          </a:extLst>
        </xdr:cNvPr>
        <xdr:cNvSpPr/>
      </xdr:nvSpPr>
      <xdr:spPr>
        <a:xfrm>
          <a:off x="9715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49</xdr:col>
      <xdr:colOff>0</xdr:colOff>
      <xdr:row>34</xdr:row>
      <xdr:rowOff>0</xdr:rowOff>
    </xdr:from>
    <xdr:to>
      <xdr:col>51</xdr:col>
      <xdr:colOff>0</xdr:colOff>
      <xdr:row>36</xdr:row>
      <xdr:rowOff>0</xdr:rowOff>
    </xdr:to>
    <xdr:sp macro="[0]!select_pile_5" textlink="">
      <xdr:nvSpPr>
        <xdr:cNvPr id="114" name="Rectangle 113">
          <a:extLst>
            <a:ext uri="{FF2B5EF4-FFF2-40B4-BE49-F238E27FC236}">
              <a16:creationId xmlns:a16="http://schemas.microsoft.com/office/drawing/2014/main" id="{64699015-26E6-4A7D-8F25-B3F252F9C62C}"/>
            </a:ext>
          </a:extLst>
        </xdr:cNvPr>
        <xdr:cNvSpPr/>
      </xdr:nvSpPr>
      <xdr:spPr>
        <a:xfrm>
          <a:off x="10287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51</xdr:col>
      <xdr:colOff>0</xdr:colOff>
      <xdr:row>34</xdr:row>
      <xdr:rowOff>0</xdr:rowOff>
    </xdr:from>
    <xdr:to>
      <xdr:col>53</xdr:col>
      <xdr:colOff>0</xdr:colOff>
      <xdr:row>36</xdr:row>
      <xdr:rowOff>0</xdr:rowOff>
    </xdr:to>
    <xdr:sp macro="[0]!moveToPile" textlink="">
      <xdr:nvSpPr>
        <xdr:cNvPr id="115" name="Rectangle 114">
          <a:extLst>
            <a:ext uri="{FF2B5EF4-FFF2-40B4-BE49-F238E27FC236}">
              <a16:creationId xmlns:a16="http://schemas.microsoft.com/office/drawing/2014/main" id="{2FA42F87-1976-4F62-8555-02110BA3BF77}"/>
            </a:ext>
          </a:extLst>
        </xdr:cNvPr>
        <xdr:cNvSpPr/>
      </xdr:nvSpPr>
      <xdr:spPr>
        <a:xfrm>
          <a:off x="10668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54</xdr:col>
      <xdr:colOff>0</xdr:colOff>
      <xdr:row>34</xdr:row>
      <xdr:rowOff>0</xdr:rowOff>
    </xdr:from>
    <xdr:to>
      <xdr:col>56</xdr:col>
      <xdr:colOff>0</xdr:colOff>
      <xdr:row>36</xdr:row>
      <xdr:rowOff>0</xdr:rowOff>
    </xdr:to>
    <xdr:sp macro="[0]!select_pile_6" textlink="">
      <xdr:nvSpPr>
        <xdr:cNvPr id="116" name="Rectangle 115">
          <a:extLst>
            <a:ext uri="{FF2B5EF4-FFF2-40B4-BE49-F238E27FC236}">
              <a16:creationId xmlns:a16="http://schemas.microsoft.com/office/drawing/2014/main" id="{D25923CB-505E-444B-BDF4-B53271563E0E}"/>
            </a:ext>
          </a:extLst>
        </xdr:cNvPr>
        <xdr:cNvSpPr/>
      </xdr:nvSpPr>
      <xdr:spPr>
        <a:xfrm>
          <a:off x="11239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56</xdr:col>
      <xdr:colOff>0</xdr:colOff>
      <xdr:row>34</xdr:row>
      <xdr:rowOff>0</xdr:rowOff>
    </xdr:from>
    <xdr:to>
      <xdr:col>58</xdr:col>
      <xdr:colOff>0</xdr:colOff>
      <xdr:row>36</xdr:row>
      <xdr:rowOff>0</xdr:rowOff>
    </xdr:to>
    <xdr:sp macro="[0]!moveToPile" textlink="">
      <xdr:nvSpPr>
        <xdr:cNvPr id="117" name="Rectangle 116">
          <a:extLst>
            <a:ext uri="{FF2B5EF4-FFF2-40B4-BE49-F238E27FC236}">
              <a16:creationId xmlns:a16="http://schemas.microsoft.com/office/drawing/2014/main" id="{0DFD6CC9-BCB4-40C2-A40C-DC5C46093722}"/>
            </a:ext>
          </a:extLst>
        </xdr:cNvPr>
        <xdr:cNvSpPr/>
      </xdr:nvSpPr>
      <xdr:spPr>
        <a:xfrm>
          <a:off x="11620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59</xdr:col>
      <xdr:colOff>0</xdr:colOff>
      <xdr:row>34</xdr:row>
      <xdr:rowOff>0</xdr:rowOff>
    </xdr:from>
    <xdr:to>
      <xdr:col>61</xdr:col>
      <xdr:colOff>0</xdr:colOff>
      <xdr:row>36</xdr:row>
      <xdr:rowOff>0</xdr:rowOff>
    </xdr:to>
    <xdr:sp macro="[0]!select_pile_7" textlink="">
      <xdr:nvSpPr>
        <xdr:cNvPr id="118" name="Rectangle 117">
          <a:extLst>
            <a:ext uri="{FF2B5EF4-FFF2-40B4-BE49-F238E27FC236}">
              <a16:creationId xmlns:a16="http://schemas.microsoft.com/office/drawing/2014/main" id="{44ED1A30-5A31-49CB-85FF-D0F18D37A7CD}"/>
            </a:ext>
          </a:extLst>
        </xdr:cNvPr>
        <xdr:cNvSpPr/>
      </xdr:nvSpPr>
      <xdr:spPr>
        <a:xfrm>
          <a:off x="12192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61</xdr:col>
      <xdr:colOff>0</xdr:colOff>
      <xdr:row>34</xdr:row>
      <xdr:rowOff>0</xdr:rowOff>
    </xdr:from>
    <xdr:to>
      <xdr:col>63</xdr:col>
      <xdr:colOff>0</xdr:colOff>
      <xdr:row>36</xdr:row>
      <xdr:rowOff>0</xdr:rowOff>
    </xdr:to>
    <xdr:sp macro="[0]!moveToPile" textlink="">
      <xdr:nvSpPr>
        <xdr:cNvPr id="119" name="Rectangle 118">
          <a:extLst>
            <a:ext uri="{FF2B5EF4-FFF2-40B4-BE49-F238E27FC236}">
              <a16:creationId xmlns:a16="http://schemas.microsoft.com/office/drawing/2014/main" id="{B5D5A6DE-DE19-4824-AC31-C0EAB8804D9C}"/>
            </a:ext>
          </a:extLst>
        </xdr:cNvPr>
        <xdr:cNvSpPr/>
      </xdr:nvSpPr>
      <xdr:spPr>
        <a:xfrm>
          <a:off x="12573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64</xdr:col>
      <xdr:colOff>0</xdr:colOff>
      <xdr:row>34</xdr:row>
      <xdr:rowOff>0</xdr:rowOff>
    </xdr:from>
    <xdr:to>
      <xdr:col>66</xdr:col>
      <xdr:colOff>0</xdr:colOff>
      <xdr:row>36</xdr:row>
      <xdr:rowOff>0</xdr:rowOff>
    </xdr:to>
    <xdr:sp macro="[0]!select_pile_8" textlink="">
      <xdr:nvSpPr>
        <xdr:cNvPr id="120" name="Rectangle 119">
          <a:extLst>
            <a:ext uri="{FF2B5EF4-FFF2-40B4-BE49-F238E27FC236}">
              <a16:creationId xmlns:a16="http://schemas.microsoft.com/office/drawing/2014/main" id="{4B4719A6-B320-4579-A8D3-12A5BE5CB54F}"/>
            </a:ext>
          </a:extLst>
        </xdr:cNvPr>
        <xdr:cNvSpPr/>
      </xdr:nvSpPr>
      <xdr:spPr>
        <a:xfrm>
          <a:off x="13144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66</xdr:col>
      <xdr:colOff>0</xdr:colOff>
      <xdr:row>34</xdr:row>
      <xdr:rowOff>0</xdr:rowOff>
    </xdr:from>
    <xdr:to>
      <xdr:col>68</xdr:col>
      <xdr:colOff>0</xdr:colOff>
      <xdr:row>36</xdr:row>
      <xdr:rowOff>0</xdr:rowOff>
    </xdr:to>
    <xdr:sp macro="[0]!moveToPile" textlink="">
      <xdr:nvSpPr>
        <xdr:cNvPr id="121" name="Rectangle 120">
          <a:extLst>
            <a:ext uri="{FF2B5EF4-FFF2-40B4-BE49-F238E27FC236}">
              <a16:creationId xmlns:a16="http://schemas.microsoft.com/office/drawing/2014/main" id="{4B3E5C6B-CF37-4140-8FD4-F92A4376F345}"/>
            </a:ext>
          </a:extLst>
        </xdr:cNvPr>
        <xdr:cNvSpPr/>
      </xdr:nvSpPr>
      <xdr:spPr>
        <a:xfrm>
          <a:off x="13525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69</xdr:col>
      <xdr:colOff>0</xdr:colOff>
      <xdr:row>34</xdr:row>
      <xdr:rowOff>0</xdr:rowOff>
    </xdr:from>
    <xdr:to>
      <xdr:col>71</xdr:col>
      <xdr:colOff>0</xdr:colOff>
      <xdr:row>36</xdr:row>
      <xdr:rowOff>0</xdr:rowOff>
    </xdr:to>
    <xdr:sp macro="[0]!select_pile_9" textlink="">
      <xdr:nvSpPr>
        <xdr:cNvPr id="122" name="Rectangle 121">
          <a:extLst>
            <a:ext uri="{FF2B5EF4-FFF2-40B4-BE49-F238E27FC236}">
              <a16:creationId xmlns:a16="http://schemas.microsoft.com/office/drawing/2014/main" id="{E4530C8B-D0BF-4C59-B636-A6787656E734}"/>
            </a:ext>
          </a:extLst>
        </xdr:cNvPr>
        <xdr:cNvSpPr/>
      </xdr:nvSpPr>
      <xdr:spPr>
        <a:xfrm>
          <a:off x="14097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71</xdr:col>
      <xdr:colOff>0</xdr:colOff>
      <xdr:row>34</xdr:row>
      <xdr:rowOff>0</xdr:rowOff>
    </xdr:from>
    <xdr:to>
      <xdr:col>73</xdr:col>
      <xdr:colOff>0</xdr:colOff>
      <xdr:row>36</xdr:row>
      <xdr:rowOff>0</xdr:rowOff>
    </xdr:to>
    <xdr:sp macro="[0]!moveToPile" textlink="">
      <xdr:nvSpPr>
        <xdr:cNvPr id="123" name="Rectangle 122">
          <a:extLst>
            <a:ext uri="{FF2B5EF4-FFF2-40B4-BE49-F238E27FC236}">
              <a16:creationId xmlns:a16="http://schemas.microsoft.com/office/drawing/2014/main" id="{EAFA4552-0D5B-4B9A-BAC5-569A980FE30B}"/>
            </a:ext>
          </a:extLst>
        </xdr:cNvPr>
        <xdr:cNvSpPr/>
      </xdr:nvSpPr>
      <xdr:spPr>
        <a:xfrm>
          <a:off x="14478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74</xdr:col>
      <xdr:colOff>0</xdr:colOff>
      <xdr:row>34</xdr:row>
      <xdr:rowOff>0</xdr:rowOff>
    </xdr:from>
    <xdr:to>
      <xdr:col>76</xdr:col>
      <xdr:colOff>0</xdr:colOff>
      <xdr:row>36</xdr:row>
      <xdr:rowOff>0</xdr:rowOff>
    </xdr:to>
    <xdr:sp macro="[0]!select_pile_10" textlink="">
      <xdr:nvSpPr>
        <xdr:cNvPr id="124" name="Rectangle 123">
          <a:extLst>
            <a:ext uri="{FF2B5EF4-FFF2-40B4-BE49-F238E27FC236}">
              <a16:creationId xmlns:a16="http://schemas.microsoft.com/office/drawing/2014/main" id="{87E6A206-79CD-48DF-BF26-0F994B889CDF}"/>
            </a:ext>
          </a:extLst>
        </xdr:cNvPr>
        <xdr:cNvSpPr/>
      </xdr:nvSpPr>
      <xdr:spPr>
        <a:xfrm>
          <a:off x="15049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76</xdr:col>
      <xdr:colOff>0</xdr:colOff>
      <xdr:row>34</xdr:row>
      <xdr:rowOff>0</xdr:rowOff>
    </xdr:from>
    <xdr:to>
      <xdr:col>78</xdr:col>
      <xdr:colOff>0</xdr:colOff>
      <xdr:row>36</xdr:row>
      <xdr:rowOff>0</xdr:rowOff>
    </xdr:to>
    <xdr:sp macro="[0]!moveToPile" textlink="">
      <xdr:nvSpPr>
        <xdr:cNvPr id="125" name="Rectangle 124">
          <a:extLst>
            <a:ext uri="{FF2B5EF4-FFF2-40B4-BE49-F238E27FC236}">
              <a16:creationId xmlns:a16="http://schemas.microsoft.com/office/drawing/2014/main" id="{44C03EF0-85B1-4F07-8125-8C864D4FCDBD}"/>
            </a:ext>
          </a:extLst>
        </xdr:cNvPr>
        <xdr:cNvSpPr/>
      </xdr:nvSpPr>
      <xdr:spPr>
        <a:xfrm>
          <a:off x="15430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79</xdr:col>
      <xdr:colOff>0</xdr:colOff>
      <xdr:row>34</xdr:row>
      <xdr:rowOff>0</xdr:rowOff>
    </xdr:from>
    <xdr:to>
      <xdr:col>81</xdr:col>
      <xdr:colOff>0</xdr:colOff>
      <xdr:row>36</xdr:row>
      <xdr:rowOff>0</xdr:rowOff>
    </xdr:to>
    <xdr:sp macro="[0]!select_pile_11" textlink="">
      <xdr:nvSpPr>
        <xdr:cNvPr id="126" name="Rectangle 125">
          <a:extLst>
            <a:ext uri="{FF2B5EF4-FFF2-40B4-BE49-F238E27FC236}">
              <a16:creationId xmlns:a16="http://schemas.microsoft.com/office/drawing/2014/main" id="{9040A5E5-B9D4-4653-A986-86B6581842B2}"/>
            </a:ext>
          </a:extLst>
        </xdr:cNvPr>
        <xdr:cNvSpPr/>
      </xdr:nvSpPr>
      <xdr:spPr>
        <a:xfrm>
          <a:off x="16002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81</xdr:col>
      <xdr:colOff>0</xdr:colOff>
      <xdr:row>34</xdr:row>
      <xdr:rowOff>0</xdr:rowOff>
    </xdr:from>
    <xdr:to>
      <xdr:col>83</xdr:col>
      <xdr:colOff>0</xdr:colOff>
      <xdr:row>36</xdr:row>
      <xdr:rowOff>0</xdr:rowOff>
    </xdr:to>
    <xdr:sp macro="[0]!moveToPile" textlink="">
      <xdr:nvSpPr>
        <xdr:cNvPr id="127" name="Rectangle 126">
          <a:extLst>
            <a:ext uri="{FF2B5EF4-FFF2-40B4-BE49-F238E27FC236}">
              <a16:creationId xmlns:a16="http://schemas.microsoft.com/office/drawing/2014/main" id="{DDE572E4-9A41-4F85-8684-F8A96D40D423}"/>
            </a:ext>
          </a:extLst>
        </xdr:cNvPr>
        <xdr:cNvSpPr/>
      </xdr:nvSpPr>
      <xdr:spPr>
        <a:xfrm>
          <a:off x="16383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84</xdr:col>
      <xdr:colOff>0</xdr:colOff>
      <xdr:row>34</xdr:row>
      <xdr:rowOff>0</xdr:rowOff>
    </xdr:from>
    <xdr:to>
      <xdr:col>86</xdr:col>
      <xdr:colOff>0</xdr:colOff>
      <xdr:row>36</xdr:row>
      <xdr:rowOff>0</xdr:rowOff>
    </xdr:to>
    <xdr:sp macro="[0]!select_pile_12" textlink="">
      <xdr:nvSpPr>
        <xdr:cNvPr id="128" name="Rectangle 127">
          <a:extLst>
            <a:ext uri="{FF2B5EF4-FFF2-40B4-BE49-F238E27FC236}">
              <a16:creationId xmlns:a16="http://schemas.microsoft.com/office/drawing/2014/main" id="{9197ADE5-6C40-468D-BE51-7D2F6AB9F95A}"/>
            </a:ext>
          </a:extLst>
        </xdr:cNvPr>
        <xdr:cNvSpPr/>
      </xdr:nvSpPr>
      <xdr:spPr>
        <a:xfrm>
          <a:off x="16954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86</xdr:col>
      <xdr:colOff>0</xdr:colOff>
      <xdr:row>34</xdr:row>
      <xdr:rowOff>0</xdr:rowOff>
    </xdr:from>
    <xdr:to>
      <xdr:col>88</xdr:col>
      <xdr:colOff>0</xdr:colOff>
      <xdr:row>36</xdr:row>
      <xdr:rowOff>0</xdr:rowOff>
    </xdr:to>
    <xdr:sp macro="[0]!moveToPile" textlink="">
      <xdr:nvSpPr>
        <xdr:cNvPr id="129" name="Rectangle 128">
          <a:extLst>
            <a:ext uri="{FF2B5EF4-FFF2-40B4-BE49-F238E27FC236}">
              <a16:creationId xmlns:a16="http://schemas.microsoft.com/office/drawing/2014/main" id="{2B931B59-5773-4191-8B79-45F61F0D11DC}"/>
            </a:ext>
          </a:extLst>
        </xdr:cNvPr>
        <xdr:cNvSpPr/>
      </xdr:nvSpPr>
      <xdr:spPr>
        <a:xfrm>
          <a:off x="173355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89</xdr:col>
      <xdr:colOff>0</xdr:colOff>
      <xdr:row>34</xdr:row>
      <xdr:rowOff>0</xdr:rowOff>
    </xdr:from>
    <xdr:to>
      <xdr:col>91</xdr:col>
      <xdr:colOff>0</xdr:colOff>
      <xdr:row>36</xdr:row>
      <xdr:rowOff>0</xdr:rowOff>
    </xdr:to>
    <xdr:sp macro="[0]!select_pile_13" textlink="">
      <xdr:nvSpPr>
        <xdr:cNvPr id="130" name="Rectangle 129">
          <a:extLst>
            <a:ext uri="{FF2B5EF4-FFF2-40B4-BE49-F238E27FC236}">
              <a16:creationId xmlns:a16="http://schemas.microsoft.com/office/drawing/2014/main" id="{89988455-BF90-4D20-8225-8CD86934DFFB}"/>
            </a:ext>
          </a:extLst>
        </xdr:cNvPr>
        <xdr:cNvSpPr/>
      </xdr:nvSpPr>
      <xdr:spPr>
        <a:xfrm>
          <a:off x="17907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91</xdr:col>
      <xdr:colOff>0</xdr:colOff>
      <xdr:row>34</xdr:row>
      <xdr:rowOff>0</xdr:rowOff>
    </xdr:from>
    <xdr:to>
      <xdr:col>93</xdr:col>
      <xdr:colOff>0</xdr:colOff>
      <xdr:row>36</xdr:row>
      <xdr:rowOff>0</xdr:rowOff>
    </xdr:to>
    <xdr:sp macro="[0]!moveToPile" textlink="">
      <xdr:nvSpPr>
        <xdr:cNvPr id="131" name="Rectangle 130">
          <a:extLst>
            <a:ext uri="{FF2B5EF4-FFF2-40B4-BE49-F238E27FC236}">
              <a16:creationId xmlns:a16="http://schemas.microsoft.com/office/drawing/2014/main" id="{00350AEF-682E-48A8-88C1-9FD336785843}"/>
            </a:ext>
          </a:extLst>
        </xdr:cNvPr>
        <xdr:cNvSpPr/>
      </xdr:nvSpPr>
      <xdr:spPr>
        <a:xfrm>
          <a:off x="18288000" y="6813176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</xdr:col>
      <xdr:colOff>0</xdr:colOff>
      <xdr:row>13</xdr:row>
      <xdr:rowOff>0</xdr:rowOff>
    </xdr:from>
    <xdr:to>
      <xdr:col>8</xdr:col>
      <xdr:colOff>0</xdr:colOff>
      <xdr:row>15</xdr:row>
      <xdr:rowOff>0</xdr:rowOff>
    </xdr:to>
    <xdr:sp macro="[0]!select_A2K_H" textlink="">
      <xdr:nvSpPr>
        <xdr:cNvPr id="9" name="Rectangle 8">
          <a:extLst>
            <a:ext uri="{FF2B5EF4-FFF2-40B4-BE49-F238E27FC236}">
              <a16:creationId xmlns:a16="http://schemas.microsoft.com/office/drawing/2014/main" id="{E7CC38F3-EFE2-4661-B748-27CA6A71E2AE}"/>
            </a:ext>
          </a:extLst>
        </xdr:cNvPr>
        <xdr:cNvSpPr/>
      </xdr:nvSpPr>
      <xdr:spPr>
        <a:xfrm>
          <a:off x="1143000" y="2577353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</xdr:col>
      <xdr:colOff>0</xdr:colOff>
      <xdr:row>15</xdr:row>
      <xdr:rowOff>1</xdr:rowOff>
    </xdr:from>
    <xdr:to>
      <xdr:col>10</xdr:col>
      <xdr:colOff>0</xdr:colOff>
      <xdr:row>17</xdr:row>
      <xdr:rowOff>1</xdr:rowOff>
    </xdr:to>
    <xdr:sp macro="[0]!moveToFoundation_A2K_H" textlink="">
      <xdr:nvSpPr>
        <xdr:cNvPr id="10" name="Rectangle 9">
          <a:extLst>
            <a:ext uri="{FF2B5EF4-FFF2-40B4-BE49-F238E27FC236}">
              <a16:creationId xmlns:a16="http://schemas.microsoft.com/office/drawing/2014/main" id="{4A7F8198-97D7-4BD7-ABBA-B364FC1D0FEB}"/>
            </a:ext>
          </a:extLst>
        </xdr:cNvPr>
        <xdr:cNvSpPr/>
      </xdr:nvSpPr>
      <xdr:spPr>
        <a:xfrm>
          <a:off x="1143000" y="28575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8</xdr:col>
      <xdr:colOff>0</xdr:colOff>
      <xdr:row>22</xdr:row>
      <xdr:rowOff>0</xdr:rowOff>
    </xdr:to>
    <xdr:sp macro="[0]!select_A2K_C" textlink="">
      <xdr:nvSpPr>
        <xdr:cNvPr id="11" name="Rectangle 10">
          <a:extLst>
            <a:ext uri="{FF2B5EF4-FFF2-40B4-BE49-F238E27FC236}">
              <a16:creationId xmlns:a16="http://schemas.microsoft.com/office/drawing/2014/main" id="{6F35BC0D-BA4F-4B08-9170-3DBD5A976B40}"/>
            </a:ext>
          </a:extLst>
        </xdr:cNvPr>
        <xdr:cNvSpPr/>
      </xdr:nvSpPr>
      <xdr:spPr>
        <a:xfrm>
          <a:off x="1143000" y="3989294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</xdr:col>
      <xdr:colOff>0</xdr:colOff>
      <xdr:row>22</xdr:row>
      <xdr:rowOff>0</xdr:rowOff>
    </xdr:from>
    <xdr:to>
      <xdr:col>10</xdr:col>
      <xdr:colOff>0</xdr:colOff>
      <xdr:row>24</xdr:row>
      <xdr:rowOff>0</xdr:rowOff>
    </xdr:to>
    <xdr:sp macro="[0]!moveToFoundation_A2K_C" textlink="">
      <xdr:nvSpPr>
        <xdr:cNvPr id="12" name="Rectangle 11">
          <a:extLst>
            <a:ext uri="{FF2B5EF4-FFF2-40B4-BE49-F238E27FC236}">
              <a16:creationId xmlns:a16="http://schemas.microsoft.com/office/drawing/2014/main" id="{FE9A0F66-B743-4872-9A21-B45C3B030F46}"/>
            </a:ext>
          </a:extLst>
        </xdr:cNvPr>
        <xdr:cNvSpPr/>
      </xdr:nvSpPr>
      <xdr:spPr>
        <a:xfrm>
          <a:off x="1143000" y="4191000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</xdr:col>
      <xdr:colOff>0</xdr:colOff>
      <xdr:row>27</xdr:row>
      <xdr:rowOff>0</xdr:rowOff>
    </xdr:from>
    <xdr:to>
      <xdr:col>8</xdr:col>
      <xdr:colOff>0</xdr:colOff>
      <xdr:row>29</xdr:row>
      <xdr:rowOff>0</xdr:rowOff>
    </xdr:to>
    <xdr:sp macro="[0]!select_A2K_D" textlink="">
      <xdr:nvSpPr>
        <xdr:cNvPr id="13" name="Rectangle 12">
          <a:extLst>
            <a:ext uri="{FF2B5EF4-FFF2-40B4-BE49-F238E27FC236}">
              <a16:creationId xmlns:a16="http://schemas.microsoft.com/office/drawing/2014/main" id="{28418720-BA87-463D-9AEF-5DB87AF03FB4}"/>
            </a:ext>
          </a:extLst>
        </xdr:cNvPr>
        <xdr:cNvSpPr/>
      </xdr:nvSpPr>
      <xdr:spPr>
        <a:xfrm>
          <a:off x="1143000" y="5401235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</xdr:col>
      <xdr:colOff>0</xdr:colOff>
      <xdr:row>29</xdr:row>
      <xdr:rowOff>0</xdr:rowOff>
    </xdr:from>
    <xdr:to>
      <xdr:col>10</xdr:col>
      <xdr:colOff>0</xdr:colOff>
      <xdr:row>31</xdr:row>
      <xdr:rowOff>0</xdr:rowOff>
    </xdr:to>
    <xdr:sp macro="[0]!moveToFoundation_A2K_D" textlink="">
      <xdr:nvSpPr>
        <xdr:cNvPr id="14" name="Rectangle 13">
          <a:extLst>
            <a:ext uri="{FF2B5EF4-FFF2-40B4-BE49-F238E27FC236}">
              <a16:creationId xmlns:a16="http://schemas.microsoft.com/office/drawing/2014/main" id="{0DB8651D-0E21-4CF6-9987-AEB3C8D9A319}"/>
            </a:ext>
          </a:extLst>
        </xdr:cNvPr>
        <xdr:cNvSpPr/>
      </xdr:nvSpPr>
      <xdr:spPr>
        <a:xfrm>
          <a:off x="1143000" y="5524500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[0]!select_A2K_S" textlink="">
      <xdr:nvSpPr>
        <xdr:cNvPr id="15" name="Rectangle 14">
          <a:extLst>
            <a:ext uri="{FF2B5EF4-FFF2-40B4-BE49-F238E27FC236}">
              <a16:creationId xmlns:a16="http://schemas.microsoft.com/office/drawing/2014/main" id="{A57BE9FB-7698-4787-88F2-59E9F826FD05}"/>
            </a:ext>
          </a:extLst>
        </xdr:cNvPr>
        <xdr:cNvSpPr/>
      </xdr:nvSpPr>
      <xdr:spPr>
        <a:xfrm>
          <a:off x="1143000" y="1143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</xdr:col>
      <xdr:colOff>0</xdr:colOff>
      <xdr:row>8</xdr:row>
      <xdr:rowOff>1</xdr:rowOff>
    </xdr:from>
    <xdr:to>
      <xdr:col>10</xdr:col>
      <xdr:colOff>0</xdr:colOff>
      <xdr:row>10</xdr:row>
      <xdr:rowOff>1</xdr:rowOff>
    </xdr:to>
    <xdr:sp macro="[0]!moveToFoundation_A2K_S" textlink="">
      <xdr:nvSpPr>
        <xdr:cNvPr id="16" name="Rectangle 15">
          <a:extLst>
            <a:ext uri="{FF2B5EF4-FFF2-40B4-BE49-F238E27FC236}">
              <a16:creationId xmlns:a16="http://schemas.microsoft.com/office/drawing/2014/main" id="{90D21D31-7749-479A-81B8-2C22162822D6}"/>
            </a:ext>
          </a:extLst>
        </xdr:cNvPr>
        <xdr:cNvSpPr/>
      </xdr:nvSpPr>
      <xdr:spPr>
        <a:xfrm>
          <a:off x="1143000" y="15240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13</xdr:col>
      <xdr:colOff>0</xdr:colOff>
      <xdr:row>8</xdr:row>
      <xdr:rowOff>0</xdr:rowOff>
    </xdr:to>
    <xdr:sp macro="[0]!select_K2A_S" textlink="">
      <xdr:nvSpPr>
        <xdr:cNvPr id="17" name="Rectangle 16">
          <a:extLst>
            <a:ext uri="{FF2B5EF4-FFF2-40B4-BE49-F238E27FC236}">
              <a16:creationId xmlns:a16="http://schemas.microsoft.com/office/drawing/2014/main" id="{33240B3A-EC0A-4B9A-9F46-BBE18B427C9E}"/>
            </a:ext>
          </a:extLst>
        </xdr:cNvPr>
        <xdr:cNvSpPr/>
      </xdr:nvSpPr>
      <xdr:spPr>
        <a:xfrm>
          <a:off x="2095500" y="1143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11</xdr:col>
      <xdr:colOff>0</xdr:colOff>
      <xdr:row>8</xdr:row>
      <xdr:rowOff>1</xdr:rowOff>
    </xdr:from>
    <xdr:to>
      <xdr:col>15</xdr:col>
      <xdr:colOff>0</xdr:colOff>
      <xdr:row>10</xdr:row>
      <xdr:rowOff>1</xdr:rowOff>
    </xdr:to>
    <xdr:sp macro="[0]!moveToFoundation_K2A_S" textlink="">
      <xdr:nvSpPr>
        <xdr:cNvPr id="18" name="Rectangle 17">
          <a:extLst>
            <a:ext uri="{FF2B5EF4-FFF2-40B4-BE49-F238E27FC236}">
              <a16:creationId xmlns:a16="http://schemas.microsoft.com/office/drawing/2014/main" id="{C2D670D4-65E6-403B-9CF5-7C3C94E791DE}"/>
            </a:ext>
          </a:extLst>
        </xdr:cNvPr>
        <xdr:cNvSpPr/>
      </xdr:nvSpPr>
      <xdr:spPr>
        <a:xfrm>
          <a:off x="2095500" y="15240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13</xdr:col>
      <xdr:colOff>0</xdr:colOff>
      <xdr:row>15</xdr:row>
      <xdr:rowOff>0</xdr:rowOff>
    </xdr:to>
    <xdr:sp macro="[0]!select_K2A_H" textlink="">
      <xdr:nvSpPr>
        <xdr:cNvPr id="19" name="Rectangle 18">
          <a:extLst>
            <a:ext uri="{FF2B5EF4-FFF2-40B4-BE49-F238E27FC236}">
              <a16:creationId xmlns:a16="http://schemas.microsoft.com/office/drawing/2014/main" id="{9C4B847B-9917-4925-8A51-9C74C884416D}"/>
            </a:ext>
          </a:extLst>
        </xdr:cNvPr>
        <xdr:cNvSpPr/>
      </xdr:nvSpPr>
      <xdr:spPr>
        <a:xfrm>
          <a:off x="2095500" y="24765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11</xdr:col>
      <xdr:colOff>0</xdr:colOff>
      <xdr:row>15</xdr:row>
      <xdr:rowOff>1</xdr:rowOff>
    </xdr:from>
    <xdr:to>
      <xdr:col>15</xdr:col>
      <xdr:colOff>0</xdr:colOff>
      <xdr:row>17</xdr:row>
      <xdr:rowOff>1</xdr:rowOff>
    </xdr:to>
    <xdr:sp macro="[0]!moveToFoundation_K2A_H" textlink="">
      <xdr:nvSpPr>
        <xdr:cNvPr id="20" name="Rectangle 19">
          <a:extLst>
            <a:ext uri="{FF2B5EF4-FFF2-40B4-BE49-F238E27FC236}">
              <a16:creationId xmlns:a16="http://schemas.microsoft.com/office/drawing/2014/main" id="{62703D7D-B9AE-4923-A2A4-3DE1CBFCF7DE}"/>
            </a:ext>
          </a:extLst>
        </xdr:cNvPr>
        <xdr:cNvSpPr/>
      </xdr:nvSpPr>
      <xdr:spPr>
        <a:xfrm>
          <a:off x="2095500" y="28575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13</xdr:col>
      <xdr:colOff>0</xdr:colOff>
      <xdr:row>22</xdr:row>
      <xdr:rowOff>0</xdr:rowOff>
    </xdr:to>
    <xdr:sp macro="[0]!select_K2A_C" textlink="">
      <xdr:nvSpPr>
        <xdr:cNvPr id="21" name="Rectangle 20">
          <a:extLst>
            <a:ext uri="{FF2B5EF4-FFF2-40B4-BE49-F238E27FC236}">
              <a16:creationId xmlns:a16="http://schemas.microsoft.com/office/drawing/2014/main" id="{4FD0AC18-9E34-4E35-B402-6F4AD238B5BC}"/>
            </a:ext>
          </a:extLst>
        </xdr:cNvPr>
        <xdr:cNvSpPr/>
      </xdr:nvSpPr>
      <xdr:spPr>
        <a:xfrm>
          <a:off x="2095500" y="3810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11</xdr:col>
      <xdr:colOff>0</xdr:colOff>
      <xdr:row>22</xdr:row>
      <xdr:rowOff>1</xdr:rowOff>
    </xdr:from>
    <xdr:to>
      <xdr:col>15</xdr:col>
      <xdr:colOff>0</xdr:colOff>
      <xdr:row>24</xdr:row>
      <xdr:rowOff>1</xdr:rowOff>
    </xdr:to>
    <xdr:sp macro="[0]!moveToFoundation_K2A_C" textlink="">
      <xdr:nvSpPr>
        <xdr:cNvPr id="22" name="Rectangle 21">
          <a:extLst>
            <a:ext uri="{FF2B5EF4-FFF2-40B4-BE49-F238E27FC236}">
              <a16:creationId xmlns:a16="http://schemas.microsoft.com/office/drawing/2014/main" id="{56394A55-DB71-4786-B0BD-D65D95D8A2A5}"/>
            </a:ext>
          </a:extLst>
        </xdr:cNvPr>
        <xdr:cNvSpPr/>
      </xdr:nvSpPr>
      <xdr:spPr>
        <a:xfrm>
          <a:off x="2095500" y="41910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13</xdr:col>
      <xdr:colOff>0</xdr:colOff>
      <xdr:row>29</xdr:row>
      <xdr:rowOff>0</xdr:rowOff>
    </xdr:to>
    <xdr:sp macro="[0]!select_K2A_D" textlink="">
      <xdr:nvSpPr>
        <xdr:cNvPr id="23" name="Rectangle 22">
          <a:extLst>
            <a:ext uri="{FF2B5EF4-FFF2-40B4-BE49-F238E27FC236}">
              <a16:creationId xmlns:a16="http://schemas.microsoft.com/office/drawing/2014/main" id="{0CB47C6F-CCBE-49AF-B9A9-9EAB0CDA3C88}"/>
            </a:ext>
          </a:extLst>
        </xdr:cNvPr>
        <xdr:cNvSpPr/>
      </xdr:nvSpPr>
      <xdr:spPr>
        <a:xfrm>
          <a:off x="2095500" y="51435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11</xdr:col>
      <xdr:colOff>0</xdr:colOff>
      <xdr:row>29</xdr:row>
      <xdr:rowOff>1</xdr:rowOff>
    </xdr:from>
    <xdr:to>
      <xdr:col>15</xdr:col>
      <xdr:colOff>0</xdr:colOff>
      <xdr:row>31</xdr:row>
      <xdr:rowOff>1</xdr:rowOff>
    </xdr:to>
    <xdr:sp macro="[0]!moveToFoundation_K2A_D" textlink="">
      <xdr:nvSpPr>
        <xdr:cNvPr id="24" name="Rectangle 23">
          <a:extLst>
            <a:ext uri="{FF2B5EF4-FFF2-40B4-BE49-F238E27FC236}">
              <a16:creationId xmlns:a16="http://schemas.microsoft.com/office/drawing/2014/main" id="{B46BA058-037A-4177-9574-743A8ACB22C1}"/>
            </a:ext>
          </a:extLst>
        </xdr:cNvPr>
        <xdr:cNvSpPr/>
      </xdr:nvSpPr>
      <xdr:spPr>
        <a:xfrm>
          <a:off x="2095500" y="55245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19</xdr:col>
      <xdr:colOff>0</xdr:colOff>
      <xdr:row>6</xdr:row>
      <xdr:rowOff>0</xdr:rowOff>
    </xdr:from>
    <xdr:to>
      <xdr:col>21</xdr:col>
      <xdr:colOff>0</xdr:colOff>
      <xdr:row>8</xdr:row>
      <xdr:rowOff>0</xdr:rowOff>
    </xdr:to>
    <xdr:sp macro="[0]!moveToWSPosition_2" textlink="">
      <xdr:nvSpPr>
        <xdr:cNvPr id="34" name="Rectangle 33">
          <a:extLst>
            <a:ext uri="{FF2B5EF4-FFF2-40B4-BE49-F238E27FC236}">
              <a16:creationId xmlns:a16="http://schemas.microsoft.com/office/drawing/2014/main" id="{B1059EDE-6E97-4B6D-9DC6-EDE2AC20B9E2}"/>
            </a:ext>
          </a:extLst>
        </xdr:cNvPr>
        <xdr:cNvSpPr/>
      </xdr:nvSpPr>
      <xdr:spPr>
        <a:xfrm>
          <a:off x="3619500" y="1143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8</xdr:row>
      <xdr:rowOff>0</xdr:rowOff>
    </xdr:from>
    <xdr:to>
      <xdr:col>21</xdr:col>
      <xdr:colOff>0</xdr:colOff>
      <xdr:row>10</xdr:row>
      <xdr:rowOff>0</xdr:rowOff>
    </xdr:to>
    <xdr:sp macro="[0]!moveToWSPosition_3" textlink="">
      <xdr:nvSpPr>
        <xdr:cNvPr id="35" name="Rectangle 34">
          <a:extLst>
            <a:ext uri="{FF2B5EF4-FFF2-40B4-BE49-F238E27FC236}">
              <a16:creationId xmlns:a16="http://schemas.microsoft.com/office/drawing/2014/main" id="{D16BB343-B684-4F89-ABE6-8447F2B958EF}"/>
            </a:ext>
          </a:extLst>
        </xdr:cNvPr>
        <xdr:cNvSpPr/>
      </xdr:nvSpPr>
      <xdr:spPr>
        <a:xfrm>
          <a:off x="3619500" y="1524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10</xdr:row>
      <xdr:rowOff>0</xdr:rowOff>
    </xdr:from>
    <xdr:to>
      <xdr:col>21</xdr:col>
      <xdr:colOff>0</xdr:colOff>
      <xdr:row>12</xdr:row>
      <xdr:rowOff>0</xdr:rowOff>
    </xdr:to>
    <xdr:sp macro="[0]!moveToWSPosition_4" textlink="">
      <xdr:nvSpPr>
        <xdr:cNvPr id="36" name="Rectangle 35">
          <a:extLst>
            <a:ext uri="{FF2B5EF4-FFF2-40B4-BE49-F238E27FC236}">
              <a16:creationId xmlns:a16="http://schemas.microsoft.com/office/drawing/2014/main" id="{7BCA6595-FD86-4827-80D2-DE6E8586833A}"/>
            </a:ext>
          </a:extLst>
        </xdr:cNvPr>
        <xdr:cNvSpPr/>
      </xdr:nvSpPr>
      <xdr:spPr>
        <a:xfrm>
          <a:off x="3619500" y="1905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12</xdr:row>
      <xdr:rowOff>0</xdr:rowOff>
    </xdr:from>
    <xdr:to>
      <xdr:col>21</xdr:col>
      <xdr:colOff>0</xdr:colOff>
      <xdr:row>14</xdr:row>
      <xdr:rowOff>0</xdr:rowOff>
    </xdr:to>
    <xdr:sp macro="[0]!moveToWSPosition_5" textlink="">
      <xdr:nvSpPr>
        <xdr:cNvPr id="37" name="Rectangle 36">
          <a:extLst>
            <a:ext uri="{FF2B5EF4-FFF2-40B4-BE49-F238E27FC236}">
              <a16:creationId xmlns:a16="http://schemas.microsoft.com/office/drawing/2014/main" id="{2E30EDCA-9E11-4FF8-AEA5-DF114D7F042B}"/>
            </a:ext>
          </a:extLst>
        </xdr:cNvPr>
        <xdr:cNvSpPr/>
      </xdr:nvSpPr>
      <xdr:spPr>
        <a:xfrm>
          <a:off x="3619500" y="2286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14</xdr:row>
      <xdr:rowOff>0</xdr:rowOff>
    </xdr:from>
    <xdr:to>
      <xdr:col>21</xdr:col>
      <xdr:colOff>0</xdr:colOff>
      <xdr:row>16</xdr:row>
      <xdr:rowOff>0</xdr:rowOff>
    </xdr:to>
    <xdr:sp macro="[0]!moveToWSPosition_6" textlink="">
      <xdr:nvSpPr>
        <xdr:cNvPr id="38" name="Rectangle 37">
          <a:extLst>
            <a:ext uri="{FF2B5EF4-FFF2-40B4-BE49-F238E27FC236}">
              <a16:creationId xmlns:a16="http://schemas.microsoft.com/office/drawing/2014/main" id="{1EA4B7F1-FC81-4E06-A207-D23F1EA857BD}"/>
            </a:ext>
          </a:extLst>
        </xdr:cNvPr>
        <xdr:cNvSpPr/>
      </xdr:nvSpPr>
      <xdr:spPr>
        <a:xfrm>
          <a:off x="3619500" y="266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16</xdr:row>
      <xdr:rowOff>0</xdr:rowOff>
    </xdr:from>
    <xdr:to>
      <xdr:col>21</xdr:col>
      <xdr:colOff>0</xdr:colOff>
      <xdr:row>18</xdr:row>
      <xdr:rowOff>0</xdr:rowOff>
    </xdr:to>
    <xdr:sp macro="[0]!moveToWSPosition_7" textlink="">
      <xdr:nvSpPr>
        <xdr:cNvPr id="39" name="Rectangle 38">
          <a:extLst>
            <a:ext uri="{FF2B5EF4-FFF2-40B4-BE49-F238E27FC236}">
              <a16:creationId xmlns:a16="http://schemas.microsoft.com/office/drawing/2014/main" id="{30C382EA-ADAD-4A4D-BEF7-C500733395C5}"/>
            </a:ext>
          </a:extLst>
        </xdr:cNvPr>
        <xdr:cNvSpPr/>
      </xdr:nvSpPr>
      <xdr:spPr>
        <a:xfrm>
          <a:off x="3619500" y="3048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18</xdr:row>
      <xdr:rowOff>0</xdr:rowOff>
    </xdr:from>
    <xdr:to>
      <xdr:col>21</xdr:col>
      <xdr:colOff>0</xdr:colOff>
      <xdr:row>20</xdr:row>
      <xdr:rowOff>0</xdr:rowOff>
    </xdr:to>
    <xdr:sp macro="[0]!moveToWSPosition_8" textlink="">
      <xdr:nvSpPr>
        <xdr:cNvPr id="40" name="Rectangle 39">
          <a:extLst>
            <a:ext uri="{FF2B5EF4-FFF2-40B4-BE49-F238E27FC236}">
              <a16:creationId xmlns:a16="http://schemas.microsoft.com/office/drawing/2014/main" id="{B7756E47-C82B-415E-B7C3-EA4D9C97D71A}"/>
            </a:ext>
          </a:extLst>
        </xdr:cNvPr>
        <xdr:cNvSpPr/>
      </xdr:nvSpPr>
      <xdr:spPr>
        <a:xfrm>
          <a:off x="3619500" y="3429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20</xdr:row>
      <xdr:rowOff>0</xdr:rowOff>
    </xdr:from>
    <xdr:to>
      <xdr:col>21</xdr:col>
      <xdr:colOff>0</xdr:colOff>
      <xdr:row>22</xdr:row>
      <xdr:rowOff>0</xdr:rowOff>
    </xdr:to>
    <xdr:sp macro="[0]!moveToWSPosition_9" textlink="">
      <xdr:nvSpPr>
        <xdr:cNvPr id="41" name="Rectangle 40">
          <a:extLst>
            <a:ext uri="{FF2B5EF4-FFF2-40B4-BE49-F238E27FC236}">
              <a16:creationId xmlns:a16="http://schemas.microsoft.com/office/drawing/2014/main" id="{51EE4239-787F-4A2A-B07A-15EDFA87A349}"/>
            </a:ext>
          </a:extLst>
        </xdr:cNvPr>
        <xdr:cNvSpPr/>
      </xdr:nvSpPr>
      <xdr:spPr>
        <a:xfrm>
          <a:off x="3619500" y="3810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22</xdr:row>
      <xdr:rowOff>0</xdr:rowOff>
    </xdr:from>
    <xdr:to>
      <xdr:col>21</xdr:col>
      <xdr:colOff>0</xdr:colOff>
      <xdr:row>24</xdr:row>
      <xdr:rowOff>0</xdr:rowOff>
    </xdr:to>
    <xdr:sp macro="[0]!moveToWSPosition_10" textlink="">
      <xdr:nvSpPr>
        <xdr:cNvPr id="42" name="Rectangle 41">
          <a:extLst>
            <a:ext uri="{FF2B5EF4-FFF2-40B4-BE49-F238E27FC236}">
              <a16:creationId xmlns:a16="http://schemas.microsoft.com/office/drawing/2014/main" id="{CDDCF57B-91B0-4655-B6AF-6D1D1D780443}"/>
            </a:ext>
          </a:extLst>
        </xdr:cNvPr>
        <xdr:cNvSpPr/>
      </xdr:nvSpPr>
      <xdr:spPr>
        <a:xfrm>
          <a:off x="3619500" y="4191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24</xdr:row>
      <xdr:rowOff>0</xdr:rowOff>
    </xdr:from>
    <xdr:to>
      <xdr:col>21</xdr:col>
      <xdr:colOff>0</xdr:colOff>
      <xdr:row>26</xdr:row>
      <xdr:rowOff>0</xdr:rowOff>
    </xdr:to>
    <xdr:sp macro="[0]!moveToWSPosition_11" textlink="">
      <xdr:nvSpPr>
        <xdr:cNvPr id="43" name="Rectangle 42">
          <a:extLst>
            <a:ext uri="{FF2B5EF4-FFF2-40B4-BE49-F238E27FC236}">
              <a16:creationId xmlns:a16="http://schemas.microsoft.com/office/drawing/2014/main" id="{C4E6AFD6-AF80-4910-8094-793310C8440B}"/>
            </a:ext>
          </a:extLst>
        </xdr:cNvPr>
        <xdr:cNvSpPr/>
      </xdr:nvSpPr>
      <xdr:spPr>
        <a:xfrm>
          <a:off x="3619500" y="4572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26</xdr:row>
      <xdr:rowOff>0</xdr:rowOff>
    </xdr:from>
    <xdr:to>
      <xdr:col>21</xdr:col>
      <xdr:colOff>0</xdr:colOff>
      <xdr:row>28</xdr:row>
      <xdr:rowOff>0</xdr:rowOff>
    </xdr:to>
    <xdr:sp macro="[0]!moveToWSPosition_12" textlink="">
      <xdr:nvSpPr>
        <xdr:cNvPr id="44" name="Rectangle 43">
          <a:extLst>
            <a:ext uri="{FF2B5EF4-FFF2-40B4-BE49-F238E27FC236}">
              <a16:creationId xmlns:a16="http://schemas.microsoft.com/office/drawing/2014/main" id="{5BEDE61F-04E0-4030-851B-78D5599896AE}"/>
            </a:ext>
          </a:extLst>
        </xdr:cNvPr>
        <xdr:cNvSpPr/>
      </xdr:nvSpPr>
      <xdr:spPr>
        <a:xfrm>
          <a:off x="3619500" y="4953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28</xdr:row>
      <xdr:rowOff>0</xdr:rowOff>
    </xdr:from>
    <xdr:to>
      <xdr:col>21</xdr:col>
      <xdr:colOff>0</xdr:colOff>
      <xdr:row>30</xdr:row>
      <xdr:rowOff>0</xdr:rowOff>
    </xdr:to>
    <xdr:sp macro="[0]!moveToWSPosition_13" textlink="">
      <xdr:nvSpPr>
        <xdr:cNvPr id="46" name="Rectangle 45">
          <a:extLst>
            <a:ext uri="{FF2B5EF4-FFF2-40B4-BE49-F238E27FC236}">
              <a16:creationId xmlns:a16="http://schemas.microsoft.com/office/drawing/2014/main" id="{B25C2644-DF2F-48B7-8E0F-4F799C5F8B81}"/>
            </a:ext>
          </a:extLst>
        </xdr:cNvPr>
        <xdr:cNvSpPr/>
      </xdr:nvSpPr>
      <xdr:spPr>
        <a:xfrm>
          <a:off x="3619500" y="5334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30</xdr:row>
      <xdr:rowOff>0</xdr:rowOff>
    </xdr:from>
    <xdr:to>
      <xdr:col>21</xdr:col>
      <xdr:colOff>0</xdr:colOff>
      <xdr:row>32</xdr:row>
      <xdr:rowOff>0</xdr:rowOff>
    </xdr:to>
    <xdr:sp macro="[0]!moveToWSPosition_14" textlink="">
      <xdr:nvSpPr>
        <xdr:cNvPr id="49" name="Rectangle 48">
          <a:extLst>
            <a:ext uri="{FF2B5EF4-FFF2-40B4-BE49-F238E27FC236}">
              <a16:creationId xmlns:a16="http://schemas.microsoft.com/office/drawing/2014/main" id="{2E4FCDF0-59C8-4ABD-8E78-53997DBBFA09}"/>
            </a:ext>
          </a:extLst>
        </xdr:cNvPr>
        <xdr:cNvSpPr/>
      </xdr:nvSpPr>
      <xdr:spPr>
        <a:xfrm>
          <a:off x="3619500" y="5715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32</xdr:row>
      <xdr:rowOff>0</xdr:rowOff>
    </xdr:from>
    <xdr:to>
      <xdr:col>21</xdr:col>
      <xdr:colOff>0</xdr:colOff>
      <xdr:row>34</xdr:row>
      <xdr:rowOff>0</xdr:rowOff>
    </xdr:to>
    <xdr:sp macro="[0]!moveToWSPosition_15" textlink="">
      <xdr:nvSpPr>
        <xdr:cNvPr id="51" name="Rectangle 50">
          <a:extLst>
            <a:ext uri="{FF2B5EF4-FFF2-40B4-BE49-F238E27FC236}">
              <a16:creationId xmlns:a16="http://schemas.microsoft.com/office/drawing/2014/main" id="{847542F4-A1B4-4C4F-8471-0F1AD7F75E39}"/>
            </a:ext>
          </a:extLst>
        </xdr:cNvPr>
        <xdr:cNvSpPr/>
      </xdr:nvSpPr>
      <xdr:spPr>
        <a:xfrm>
          <a:off x="3619500" y="6096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34</xdr:row>
      <xdr:rowOff>0</xdr:rowOff>
    </xdr:from>
    <xdr:to>
      <xdr:col>21</xdr:col>
      <xdr:colOff>0</xdr:colOff>
      <xdr:row>36</xdr:row>
      <xdr:rowOff>0</xdr:rowOff>
    </xdr:to>
    <xdr:sp macro="[0]!moveToWSPosition_16" textlink="">
      <xdr:nvSpPr>
        <xdr:cNvPr id="53" name="Rectangle 52">
          <a:extLst>
            <a:ext uri="{FF2B5EF4-FFF2-40B4-BE49-F238E27FC236}">
              <a16:creationId xmlns:a16="http://schemas.microsoft.com/office/drawing/2014/main" id="{6528E9E0-814F-4478-8AA6-DCCBE8019E4F}"/>
            </a:ext>
          </a:extLst>
        </xdr:cNvPr>
        <xdr:cNvSpPr/>
      </xdr:nvSpPr>
      <xdr:spPr>
        <a:xfrm>
          <a:off x="3619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6</xdr:col>
      <xdr:colOff>0</xdr:colOff>
      <xdr:row>37</xdr:row>
      <xdr:rowOff>0</xdr:rowOff>
    </xdr:from>
    <xdr:to>
      <xdr:col>10</xdr:col>
      <xdr:colOff>0</xdr:colOff>
      <xdr:row>41</xdr:row>
      <xdr:rowOff>0</xdr:rowOff>
    </xdr:to>
    <xdr:sp macro="[0]!undoMove" textlink="">
      <xdr:nvSpPr>
        <xdr:cNvPr id="2" name="Rectangle 1">
          <a:extLst>
            <a:ext uri="{FF2B5EF4-FFF2-40B4-BE49-F238E27FC236}">
              <a16:creationId xmlns:a16="http://schemas.microsoft.com/office/drawing/2014/main" id="{23046DB1-620A-41E9-A5AB-AF2861A0958A}"/>
            </a:ext>
          </a:extLst>
        </xdr:cNvPr>
        <xdr:cNvSpPr/>
      </xdr:nvSpPr>
      <xdr:spPr>
        <a:xfrm>
          <a:off x="1143000" y="7048500"/>
          <a:ext cx="762000" cy="762000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36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↩</a:t>
          </a:r>
          <a:endParaRPr lang="en-US" sz="3600" b="1"/>
        </a:p>
      </xdr:txBody>
    </xdr:sp>
    <xdr:clientData/>
  </xdr:twoCellAnchor>
  <xdr:twoCellAnchor>
    <xdr:from>
      <xdr:col>11</xdr:col>
      <xdr:colOff>0</xdr:colOff>
      <xdr:row>37</xdr:row>
      <xdr:rowOff>0</xdr:rowOff>
    </xdr:from>
    <xdr:to>
      <xdr:col>15</xdr:col>
      <xdr:colOff>0</xdr:colOff>
      <xdr:row>41</xdr:row>
      <xdr:rowOff>0</xdr:rowOff>
    </xdr:to>
    <xdr:sp macro="[0]!redoMove" textlink="">
      <xdr:nvSpPr>
        <xdr:cNvPr id="4" name="Rectangle 3">
          <a:extLst>
            <a:ext uri="{FF2B5EF4-FFF2-40B4-BE49-F238E27FC236}">
              <a16:creationId xmlns:a16="http://schemas.microsoft.com/office/drawing/2014/main" id="{324EF1D5-CCF8-422F-90B3-7EBE49D3B9A1}"/>
            </a:ext>
          </a:extLst>
        </xdr:cNvPr>
        <xdr:cNvSpPr/>
      </xdr:nvSpPr>
      <xdr:spPr>
        <a:xfrm>
          <a:off x="2095500" y="7048500"/>
          <a:ext cx="762000" cy="762000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36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↪</a:t>
          </a:r>
          <a:endParaRPr lang="en-US" sz="8800" b="1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35</xdr:row>
      <xdr:rowOff>188820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7A08B63-EBF8-478B-A42D-C7B15BA68982}"/>
            </a:ext>
          </a:extLst>
        </xdr:cNvPr>
        <xdr:cNvSpPr/>
      </xdr:nvSpPr>
      <xdr:spPr>
        <a:xfrm>
          <a:off x="2095500" y="6096000"/>
          <a:ext cx="762000" cy="760320"/>
        </a:xfrm>
        <a:prstGeom prst="rect">
          <a:avLst/>
        </a:prstGeom>
        <a:gradFill flip="none" rotWithShape="1">
          <a:gsLst>
            <a:gs pos="100000">
              <a:schemeClr val="accent6">
                <a:lumMod val="75000"/>
              </a:schemeClr>
            </a:gs>
            <a:gs pos="50000">
              <a:schemeClr val="accent6">
                <a:lumMod val="75000"/>
                <a:alpha val="0"/>
              </a:schemeClr>
            </a:gs>
          </a:gsLst>
          <a:path path="rect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endParaRPr lang="en-US" sz="1800" b="1"/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5</xdr:col>
      <xdr:colOff>0</xdr:colOff>
      <xdr:row>41</xdr:row>
      <xdr:rowOff>0</xdr:rowOff>
    </xdr:to>
    <xdr:sp macro="[0]!goToRules" textlink="">
      <xdr:nvSpPr>
        <xdr:cNvPr id="7" name="Rectangle 6">
          <a:extLst>
            <a:ext uri="{FF2B5EF4-FFF2-40B4-BE49-F238E27FC236}">
              <a16:creationId xmlns:a16="http://schemas.microsoft.com/office/drawing/2014/main" id="{818C4F03-2101-48AE-9BDD-49C322AD8FD5}"/>
            </a:ext>
          </a:extLst>
        </xdr:cNvPr>
        <xdr:cNvSpPr/>
      </xdr:nvSpPr>
      <xdr:spPr>
        <a:xfrm>
          <a:off x="190500" y="7048500"/>
          <a:ext cx="762000" cy="762000"/>
        </a:xfrm>
        <a:prstGeom prst="rect">
          <a:avLst/>
        </a:prstGeom>
        <a:solidFill>
          <a:schemeClr val="bg2">
            <a:lumMod val="25000"/>
          </a:schemeClr>
        </a:solidFill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800" b="1">
              <a:solidFill>
                <a:schemeClr val="bg1"/>
              </a:solidFill>
            </a:rPr>
            <a:t>Rules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32</xdr:row>
      <xdr:rowOff>0</xdr:rowOff>
    </xdr:from>
    <xdr:to>
      <xdr:col>10</xdr:col>
      <xdr:colOff>0</xdr:colOff>
      <xdr:row>35</xdr:row>
      <xdr:rowOff>188820</xdr:rowOff>
    </xdr:to>
    <xdr:sp macro="[0]!Draw_from_Exile" textlink="">
      <xdr:nvSpPr>
        <xdr:cNvPr id="2" name="Rectangle 1">
          <a:extLst>
            <a:ext uri="{FF2B5EF4-FFF2-40B4-BE49-F238E27FC236}">
              <a16:creationId xmlns:a16="http://schemas.microsoft.com/office/drawing/2014/main" id="{FE51A5E0-5CB9-4477-821B-03CBD189981D}"/>
            </a:ext>
          </a:extLst>
        </xdr:cNvPr>
        <xdr:cNvSpPr/>
      </xdr:nvSpPr>
      <xdr:spPr>
        <a:xfrm>
          <a:off x="1143000" y="6096000"/>
          <a:ext cx="762000" cy="76032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800" b="1"/>
            <a:t>Draw</a:t>
          </a:r>
        </a:p>
        <a:p>
          <a:pPr algn="ctr"/>
          <a:r>
            <a:rPr lang="en-US" sz="1800" b="1"/>
            <a:t>Card</a:t>
          </a:r>
        </a:p>
      </xdr:txBody>
    </xdr:sp>
    <xdr:clientData/>
  </xdr:twoCellAnchor>
  <xdr:twoCellAnchor>
    <xdr:from>
      <xdr:col>17</xdr:col>
      <xdr:colOff>0</xdr:colOff>
      <xdr:row>4</xdr:row>
      <xdr:rowOff>0</xdr:rowOff>
    </xdr:from>
    <xdr:to>
      <xdr:col>19</xdr:col>
      <xdr:colOff>0</xdr:colOff>
      <xdr:row>6</xdr:row>
      <xdr:rowOff>1</xdr:rowOff>
    </xdr:to>
    <xdr:sp macro="[0]!select_WS_1" textlink="">
      <xdr:nvSpPr>
        <xdr:cNvPr id="3" name="Rectangle 2">
          <a:extLst>
            <a:ext uri="{FF2B5EF4-FFF2-40B4-BE49-F238E27FC236}">
              <a16:creationId xmlns:a16="http://schemas.microsoft.com/office/drawing/2014/main" id="{C5C4FB42-CBD4-42FE-B7F5-5A2C3B498B31}"/>
            </a:ext>
          </a:extLst>
        </xdr:cNvPr>
        <xdr:cNvSpPr/>
      </xdr:nvSpPr>
      <xdr:spPr>
        <a:xfrm>
          <a:off x="3238500" y="762000"/>
          <a:ext cx="381000" cy="381001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27</xdr:col>
      <xdr:colOff>0</xdr:colOff>
      <xdr:row>3</xdr:row>
      <xdr:rowOff>0</xdr:rowOff>
    </xdr:to>
    <xdr:sp macro="[0]!Deal_Cards_13_Packs" textlink="">
      <xdr:nvSpPr>
        <xdr:cNvPr id="4" name="Rectangle 3">
          <a:extLst>
            <a:ext uri="{FF2B5EF4-FFF2-40B4-BE49-F238E27FC236}">
              <a16:creationId xmlns:a16="http://schemas.microsoft.com/office/drawing/2014/main" id="{29D3726C-2D40-4054-8EAB-2D8A281A512B}"/>
            </a:ext>
          </a:extLst>
        </xdr:cNvPr>
        <xdr:cNvSpPr/>
      </xdr:nvSpPr>
      <xdr:spPr>
        <a:xfrm>
          <a:off x="3238500" y="190500"/>
          <a:ext cx="1905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800" b="1"/>
            <a:t>New</a:t>
          </a:r>
          <a:r>
            <a:rPr lang="en-US" sz="1400" baseline="0"/>
            <a:t> </a:t>
          </a:r>
          <a:r>
            <a:rPr lang="en-US" sz="1800" b="1" baseline="0"/>
            <a:t>Game</a:t>
          </a:r>
          <a:endParaRPr lang="en-US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19</xdr:col>
      <xdr:colOff>0</xdr:colOff>
      <xdr:row>8</xdr:row>
      <xdr:rowOff>22412</xdr:rowOff>
    </xdr:to>
    <xdr:sp macro="[0]!select_WS_2" textlink="">
      <xdr:nvSpPr>
        <xdr:cNvPr id="5" name="Rectangle 4">
          <a:extLst>
            <a:ext uri="{FF2B5EF4-FFF2-40B4-BE49-F238E27FC236}">
              <a16:creationId xmlns:a16="http://schemas.microsoft.com/office/drawing/2014/main" id="{C4C014F3-7B1A-4B67-90B6-61E29AB82625}"/>
            </a:ext>
          </a:extLst>
        </xdr:cNvPr>
        <xdr:cNvSpPr/>
      </xdr:nvSpPr>
      <xdr:spPr>
        <a:xfrm>
          <a:off x="3238500" y="1143000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8</xdr:row>
      <xdr:rowOff>0</xdr:rowOff>
    </xdr:from>
    <xdr:to>
      <xdr:col>19</xdr:col>
      <xdr:colOff>0</xdr:colOff>
      <xdr:row>10</xdr:row>
      <xdr:rowOff>22412</xdr:rowOff>
    </xdr:to>
    <xdr:sp macro="[0]!select_WS_3" textlink="">
      <xdr:nvSpPr>
        <xdr:cNvPr id="6" name="Rectangle 5">
          <a:extLst>
            <a:ext uri="{FF2B5EF4-FFF2-40B4-BE49-F238E27FC236}">
              <a16:creationId xmlns:a16="http://schemas.microsoft.com/office/drawing/2014/main" id="{10A0AD29-4E86-4DE6-92B6-4D1A53C2C44B}"/>
            </a:ext>
          </a:extLst>
        </xdr:cNvPr>
        <xdr:cNvSpPr/>
      </xdr:nvSpPr>
      <xdr:spPr>
        <a:xfrm>
          <a:off x="3238500" y="1524000"/>
          <a:ext cx="381000" cy="403412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19</xdr:col>
      <xdr:colOff>0</xdr:colOff>
      <xdr:row>12</xdr:row>
      <xdr:rowOff>0</xdr:rowOff>
    </xdr:to>
    <xdr:sp macro="[0]!select_WS_4" textlink="">
      <xdr:nvSpPr>
        <xdr:cNvPr id="7" name="Rectangle 6">
          <a:extLst>
            <a:ext uri="{FF2B5EF4-FFF2-40B4-BE49-F238E27FC236}">
              <a16:creationId xmlns:a16="http://schemas.microsoft.com/office/drawing/2014/main" id="{1AD90211-2209-4294-B529-B980D89C2F2D}"/>
            </a:ext>
          </a:extLst>
        </xdr:cNvPr>
        <xdr:cNvSpPr/>
      </xdr:nvSpPr>
      <xdr:spPr>
        <a:xfrm>
          <a:off x="3238500" y="1905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12</xdr:row>
      <xdr:rowOff>0</xdr:rowOff>
    </xdr:from>
    <xdr:to>
      <xdr:col>19</xdr:col>
      <xdr:colOff>0</xdr:colOff>
      <xdr:row>14</xdr:row>
      <xdr:rowOff>0</xdr:rowOff>
    </xdr:to>
    <xdr:sp macro="[0]!select_WS_5" textlink="">
      <xdr:nvSpPr>
        <xdr:cNvPr id="8" name="Rectangle 7">
          <a:extLst>
            <a:ext uri="{FF2B5EF4-FFF2-40B4-BE49-F238E27FC236}">
              <a16:creationId xmlns:a16="http://schemas.microsoft.com/office/drawing/2014/main" id="{58A0B660-BCF7-4131-BDF2-D8280B68CA0E}"/>
            </a:ext>
          </a:extLst>
        </xdr:cNvPr>
        <xdr:cNvSpPr/>
      </xdr:nvSpPr>
      <xdr:spPr>
        <a:xfrm>
          <a:off x="3238500" y="2286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14</xdr:row>
      <xdr:rowOff>0</xdr:rowOff>
    </xdr:from>
    <xdr:to>
      <xdr:col>19</xdr:col>
      <xdr:colOff>0</xdr:colOff>
      <xdr:row>16</xdr:row>
      <xdr:rowOff>0</xdr:rowOff>
    </xdr:to>
    <xdr:sp macro="[0]!select_WS_6" textlink="">
      <xdr:nvSpPr>
        <xdr:cNvPr id="9" name="Rectangle 8">
          <a:extLst>
            <a:ext uri="{FF2B5EF4-FFF2-40B4-BE49-F238E27FC236}">
              <a16:creationId xmlns:a16="http://schemas.microsoft.com/office/drawing/2014/main" id="{3CA82149-8D61-4AE9-90C9-8BBF4C1930D4}"/>
            </a:ext>
          </a:extLst>
        </xdr:cNvPr>
        <xdr:cNvSpPr/>
      </xdr:nvSpPr>
      <xdr:spPr>
        <a:xfrm>
          <a:off x="3238500" y="266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19</xdr:col>
      <xdr:colOff>0</xdr:colOff>
      <xdr:row>18</xdr:row>
      <xdr:rowOff>1</xdr:rowOff>
    </xdr:to>
    <xdr:sp macro="[0]!select_WS_7" textlink="">
      <xdr:nvSpPr>
        <xdr:cNvPr id="10" name="Rectangle 9">
          <a:extLst>
            <a:ext uri="{FF2B5EF4-FFF2-40B4-BE49-F238E27FC236}">
              <a16:creationId xmlns:a16="http://schemas.microsoft.com/office/drawing/2014/main" id="{41009B10-A27C-4EAF-A93C-53AEAE19273C}"/>
            </a:ext>
          </a:extLst>
        </xdr:cNvPr>
        <xdr:cNvSpPr/>
      </xdr:nvSpPr>
      <xdr:spPr>
        <a:xfrm>
          <a:off x="3238500" y="3048000"/>
          <a:ext cx="381000" cy="381001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18</xdr:row>
      <xdr:rowOff>0</xdr:rowOff>
    </xdr:from>
    <xdr:to>
      <xdr:col>19</xdr:col>
      <xdr:colOff>0</xdr:colOff>
      <xdr:row>20</xdr:row>
      <xdr:rowOff>0</xdr:rowOff>
    </xdr:to>
    <xdr:sp macro="[0]!select_WS_8" textlink="">
      <xdr:nvSpPr>
        <xdr:cNvPr id="11" name="Rectangle 10">
          <a:extLst>
            <a:ext uri="{FF2B5EF4-FFF2-40B4-BE49-F238E27FC236}">
              <a16:creationId xmlns:a16="http://schemas.microsoft.com/office/drawing/2014/main" id="{D6A28BCE-84BC-4A32-9C33-F0BA7D2FFEC6}"/>
            </a:ext>
          </a:extLst>
        </xdr:cNvPr>
        <xdr:cNvSpPr/>
      </xdr:nvSpPr>
      <xdr:spPr>
        <a:xfrm>
          <a:off x="3238500" y="3429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20</xdr:row>
      <xdr:rowOff>0</xdr:rowOff>
    </xdr:from>
    <xdr:to>
      <xdr:col>19</xdr:col>
      <xdr:colOff>0</xdr:colOff>
      <xdr:row>22</xdr:row>
      <xdr:rowOff>0</xdr:rowOff>
    </xdr:to>
    <xdr:sp macro="[0]!select_WS_9" textlink="">
      <xdr:nvSpPr>
        <xdr:cNvPr id="12" name="Rectangle 11">
          <a:extLst>
            <a:ext uri="{FF2B5EF4-FFF2-40B4-BE49-F238E27FC236}">
              <a16:creationId xmlns:a16="http://schemas.microsoft.com/office/drawing/2014/main" id="{4DCF49F4-9C79-47CC-8838-E03B850AFDA6}"/>
            </a:ext>
          </a:extLst>
        </xdr:cNvPr>
        <xdr:cNvSpPr/>
      </xdr:nvSpPr>
      <xdr:spPr>
        <a:xfrm>
          <a:off x="3238500" y="3810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22</xdr:row>
      <xdr:rowOff>0</xdr:rowOff>
    </xdr:from>
    <xdr:to>
      <xdr:col>19</xdr:col>
      <xdr:colOff>0</xdr:colOff>
      <xdr:row>24</xdr:row>
      <xdr:rowOff>0</xdr:rowOff>
    </xdr:to>
    <xdr:sp macro="[0]!select_WS_10" textlink="">
      <xdr:nvSpPr>
        <xdr:cNvPr id="13" name="Rectangle 12">
          <a:extLst>
            <a:ext uri="{FF2B5EF4-FFF2-40B4-BE49-F238E27FC236}">
              <a16:creationId xmlns:a16="http://schemas.microsoft.com/office/drawing/2014/main" id="{420E4407-BB18-4B47-8FA7-05F48A627D1F}"/>
            </a:ext>
          </a:extLst>
        </xdr:cNvPr>
        <xdr:cNvSpPr/>
      </xdr:nvSpPr>
      <xdr:spPr>
        <a:xfrm>
          <a:off x="3238500" y="4191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24</xdr:row>
      <xdr:rowOff>0</xdr:rowOff>
    </xdr:from>
    <xdr:to>
      <xdr:col>19</xdr:col>
      <xdr:colOff>0</xdr:colOff>
      <xdr:row>26</xdr:row>
      <xdr:rowOff>1</xdr:rowOff>
    </xdr:to>
    <xdr:sp macro="[0]!select_WS_11" textlink="">
      <xdr:nvSpPr>
        <xdr:cNvPr id="14" name="Rectangle 13">
          <a:extLst>
            <a:ext uri="{FF2B5EF4-FFF2-40B4-BE49-F238E27FC236}">
              <a16:creationId xmlns:a16="http://schemas.microsoft.com/office/drawing/2014/main" id="{D41AFFA9-1BC5-4281-B155-DA4FA428717F}"/>
            </a:ext>
          </a:extLst>
        </xdr:cNvPr>
        <xdr:cNvSpPr/>
      </xdr:nvSpPr>
      <xdr:spPr>
        <a:xfrm>
          <a:off x="3238500" y="4572000"/>
          <a:ext cx="381000" cy="381001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19</xdr:col>
      <xdr:colOff>0</xdr:colOff>
      <xdr:row>28</xdr:row>
      <xdr:rowOff>0</xdr:rowOff>
    </xdr:to>
    <xdr:sp macro="[0]!select_WS_12" textlink="">
      <xdr:nvSpPr>
        <xdr:cNvPr id="15" name="Rectangle 14">
          <a:extLst>
            <a:ext uri="{FF2B5EF4-FFF2-40B4-BE49-F238E27FC236}">
              <a16:creationId xmlns:a16="http://schemas.microsoft.com/office/drawing/2014/main" id="{0EE7A648-E28C-4FD8-9B17-FB499AA6D578}"/>
            </a:ext>
          </a:extLst>
        </xdr:cNvPr>
        <xdr:cNvSpPr/>
      </xdr:nvSpPr>
      <xdr:spPr>
        <a:xfrm>
          <a:off x="3238500" y="4953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28</xdr:row>
      <xdr:rowOff>0</xdr:rowOff>
    </xdr:from>
    <xdr:to>
      <xdr:col>19</xdr:col>
      <xdr:colOff>0</xdr:colOff>
      <xdr:row>30</xdr:row>
      <xdr:rowOff>0</xdr:rowOff>
    </xdr:to>
    <xdr:sp macro="[0]!select_WS_13" textlink="">
      <xdr:nvSpPr>
        <xdr:cNvPr id="16" name="Rectangle 15">
          <a:extLst>
            <a:ext uri="{FF2B5EF4-FFF2-40B4-BE49-F238E27FC236}">
              <a16:creationId xmlns:a16="http://schemas.microsoft.com/office/drawing/2014/main" id="{AA34EFAE-5A94-485B-8733-ADAA864725E0}"/>
            </a:ext>
          </a:extLst>
        </xdr:cNvPr>
        <xdr:cNvSpPr/>
      </xdr:nvSpPr>
      <xdr:spPr>
        <a:xfrm>
          <a:off x="3238500" y="5334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30</xdr:row>
      <xdr:rowOff>0</xdr:rowOff>
    </xdr:from>
    <xdr:to>
      <xdr:col>19</xdr:col>
      <xdr:colOff>0</xdr:colOff>
      <xdr:row>32</xdr:row>
      <xdr:rowOff>0</xdr:rowOff>
    </xdr:to>
    <xdr:sp macro="[0]!select_WS_14" textlink="">
      <xdr:nvSpPr>
        <xdr:cNvPr id="17" name="Rectangle 16">
          <a:extLst>
            <a:ext uri="{FF2B5EF4-FFF2-40B4-BE49-F238E27FC236}">
              <a16:creationId xmlns:a16="http://schemas.microsoft.com/office/drawing/2014/main" id="{807A80FB-2297-42BA-8F45-562F0F780AE5}"/>
            </a:ext>
          </a:extLst>
        </xdr:cNvPr>
        <xdr:cNvSpPr/>
      </xdr:nvSpPr>
      <xdr:spPr>
        <a:xfrm>
          <a:off x="3238500" y="5715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32</xdr:row>
      <xdr:rowOff>0</xdr:rowOff>
    </xdr:from>
    <xdr:to>
      <xdr:col>19</xdr:col>
      <xdr:colOff>0</xdr:colOff>
      <xdr:row>34</xdr:row>
      <xdr:rowOff>1</xdr:rowOff>
    </xdr:to>
    <xdr:sp macro="[0]!select_WS_15" textlink="">
      <xdr:nvSpPr>
        <xdr:cNvPr id="18" name="Rectangle 17">
          <a:extLst>
            <a:ext uri="{FF2B5EF4-FFF2-40B4-BE49-F238E27FC236}">
              <a16:creationId xmlns:a16="http://schemas.microsoft.com/office/drawing/2014/main" id="{31B81B3E-3C10-4F01-9F5A-B1817D362C8B}"/>
            </a:ext>
          </a:extLst>
        </xdr:cNvPr>
        <xdr:cNvSpPr/>
      </xdr:nvSpPr>
      <xdr:spPr>
        <a:xfrm>
          <a:off x="3238500" y="6096000"/>
          <a:ext cx="381000" cy="381001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17</xdr:col>
      <xdr:colOff>0</xdr:colOff>
      <xdr:row>34</xdr:row>
      <xdr:rowOff>0</xdr:rowOff>
    </xdr:from>
    <xdr:to>
      <xdr:col>19</xdr:col>
      <xdr:colOff>0</xdr:colOff>
      <xdr:row>36</xdr:row>
      <xdr:rowOff>0</xdr:rowOff>
    </xdr:to>
    <xdr:sp macro="[0]!select_WS_16" textlink="">
      <xdr:nvSpPr>
        <xdr:cNvPr id="19" name="Rectangle 18">
          <a:extLst>
            <a:ext uri="{FF2B5EF4-FFF2-40B4-BE49-F238E27FC236}">
              <a16:creationId xmlns:a16="http://schemas.microsoft.com/office/drawing/2014/main" id="{17D90DAA-DDBC-43F3-BE3A-6C405BEF3106}"/>
            </a:ext>
          </a:extLst>
        </xdr:cNvPr>
        <xdr:cNvSpPr/>
      </xdr:nvSpPr>
      <xdr:spPr>
        <a:xfrm>
          <a:off x="3238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21</xdr:col>
      <xdr:colOff>0</xdr:colOff>
      <xdr:row>6</xdr:row>
      <xdr:rowOff>0</xdr:rowOff>
    </xdr:to>
    <xdr:sp macro="[0]!moveToWSPosition_1" textlink="">
      <xdr:nvSpPr>
        <xdr:cNvPr id="20" name="Rectangle 19">
          <a:extLst>
            <a:ext uri="{FF2B5EF4-FFF2-40B4-BE49-F238E27FC236}">
              <a16:creationId xmlns:a16="http://schemas.microsoft.com/office/drawing/2014/main" id="{7AE1A3FE-345B-4537-BC18-D69C7DFC57F7}"/>
            </a:ext>
          </a:extLst>
        </xdr:cNvPr>
        <xdr:cNvSpPr/>
      </xdr:nvSpPr>
      <xdr:spPr>
        <a:xfrm>
          <a:off x="4000500" y="762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29</xdr:col>
      <xdr:colOff>0</xdr:colOff>
      <xdr:row>34</xdr:row>
      <xdr:rowOff>0</xdr:rowOff>
    </xdr:from>
    <xdr:to>
      <xdr:col>31</xdr:col>
      <xdr:colOff>0</xdr:colOff>
      <xdr:row>36</xdr:row>
      <xdr:rowOff>0</xdr:rowOff>
    </xdr:to>
    <xdr:sp macro="[0]!select_pile_1" textlink="">
      <xdr:nvSpPr>
        <xdr:cNvPr id="21" name="Rectangle 20">
          <a:extLst>
            <a:ext uri="{FF2B5EF4-FFF2-40B4-BE49-F238E27FC236}">
              <a16:creationId xmlns:a16="http://schemas.microsoft.com/office/drawing/2014/main" id="{C212D445-C2F7-4A0D-AE89-AA9AD43A7765}"/>
            </a:ext>
          </a:extLst>
        </xdr:cNvPr>
        <xdr:cNvSpPr/>
      </xdr:nvSpPr>
      <xdr:spPr>
        <a:xfrm>
          <a:off x="5524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31</xdr:col>
      <xdr:colOff>0</xdr:colOff>
      <xdr:row>34</xdr:row>
      <xdr:rowOff>0</xdr:rowOff>
    </xdr:from>
    <xdr:to>
      <xdr:col>33</xdr:col>
      <xdr:colOff>0</xdr:colOff>
      <xdr:row>36</xdr:row>
      <xdr:rowOff>0</xdr:rowOff>
    </xdr:to>
    <xdr:sp macro="[0]!moveToPile" textlink="">
      <xdr:nvSpPr>
        <xdr:cNvPr id="22" name="Rectangle 21">
          <a:extLst>
            <a:ext uri="{FF2B5EF4-FFF2-40B4-BE49-F238E27FC236}">
              <a16:creationId xmlns:a16="http://schemas.microsoft.com/office/drawing/2014/main" id="{7E246FCE-A489-486F-A761-A6DCD96E7403}"/>
            </a:ext>
          </a:extLst>
        </xdr:cNvPr>
        <xdr:cNvSpPr/>
      </xdr:nvSpPr>
      <xdr:spPr>
        <a:xfrm>
          <a:off x="5905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34</xdr:col>
      <xdr:colOff>0</xdr:colOff>
      <xdr:row>34</xdr:row>
      <xdr:rowOff>0</xdr:rowOff>
    </xdr:from>
    <xdr:to>
      <xdr:col>36</xdr:col>
      <xdr:colOff>0</xdr:colOff>
      <xdr:row>36</xdr:row>
      <xdr:rowOff>0</xdr:rowOff>
    </xdr:to>
    <xdr:sp macro="[0]!select_pile_2" textlink="">
      <xdr:nvSpPr>
        <xdr:cNvPr id="23" name="Rectangle 22">
          <a:extLst>
            <a:ext uri="{FF2B5EF4-FFF2-40B4-BE49-F238E27FC236}">
              <a16:creationId xmlns:a16="http://schemas.microsoft.com/office/drawing/2014/main" id="{A78FDA58-2D5A-4E50-8ABD-CA6641E77479}"/>
            </a:ext>
          </a:extLst>
        </xdr:cNvPr>
        <xdr:cNvSpPr/>
      </xdr:nvSpPr>
      <xdr:spPr>
        <a:xfrm>
          <a:off x="6477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36</xdr:col>
      <xdr:colOff>0</xdr:colOff>
      <xdr:row>34</xdr:row>
      <xdr:rowOff>0</xdr:rowOff>
    </xdr:from>
    <xdr:to>
      <xdr:col>38</xdr:col>
      <xdr:colOff>0</xdr:colOff>
      <xdr:row>36</xdr:row>
      <xdr:rowOff>0</xdr:rowOff>
    </xdr:to>
    <xdr:sp macro="[0]!moveToPile" textlink="">
      <xdr:nvSpPr>
        <xdr:cNvPr id="24" name="Rectangle 23">
          <a:extLst>
            <a:ext uri="{FF2B5EF4-FFF2-40B4-BE49-F238E27FC236}">
              <a16:creationId xmlns:a16="http://schemas.microsoft.com/office/drawing/2014/main" id="{2FD4BEB4-CF74-4FB1-A6FF-4E90A89FCC04}"/>
            </a:ext>
          </a:extLst>
        </xdr:cNvPr>
        <xdr:cNvSpPr/>
      </xdr:nvSpPr>
      <xdr:spPr>
        <a:xfrm>
          <a:off x="6858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39</xdr:col>
      <xdr:colOff>0</xdr:colOff>
      <xdr:row>34</xdr:row>
      <xdr:rowOff>0</xdr:rowOff>
    </xdr:from>
    <xdr:to>
      <xdr:col>41</xdr:col>
      <xdr:colOff>0</xdr:colOff>
      <xdr:row>36</xdr:row>
      <xdr:rowOff>0</xdr:rowOff>
    </xdr:to>
    <xdr:sp macro="[0]!select_pile_3" textlink="">
      <xdr:nvSpPr>
        <xdr:cNvPr id="25" name="Rectangle 24">
          <a:extLst>
            <a:ext uri="{FF2B5EF4-FFF2-40B4-BE49-F238E27FC236}">
              <a16:creationId xmlns:a16="http://schemas.microsoft.com/office/drawing/2014/main" id="{DE3CB26D-38C3-4B69-9ADA-DF0B483184A6}"/>
            </a:ext>
          </a:extLst>
        </xdr:cNvPr>
        <xdr:cNvSpPr/>
      </xdr:nvSpPr>
      <xdr:spPr>
        <a:xfrm>
          <a:off x="7429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41</xdr:col>
      <xdr:colOff>0</xdr:colOff>
      <xdr:row>34</xdr:row>
      <xdr:rowOff>0</xdr:rowOff>
    </xdr:from>
    <xdr:to>
      <xdr:col>43</xdr:col>
      <xdr:colOff>0</xdr:colOff>
      <xdr:row>36</xdr:row>
      <xdr:rowOff>0</xdr:rowOff>
    </xdr:to>
    <xdr:sp macro="[0]!moveToPile" textlink="">
      <xdr:nvSpPr>
        <xdr:cNvPr id="26" name="Rectangle 25">
          <a:extLst>
            <a:ext uri="{FF2B5EF4-FFF2-40B4-BE49-F238E27FC236}">
              <a16:creationId xmlns:a16="http://schemas.microsoft.com/office/drawing/2014/main" id="{F61F495E-47AE-47DB-BB74-93A1FF5BA40F}"/>
            </a:ext>
          </a:extLst>
        </xdr:cNvPr>
        <xdr:cNvSpPr/>
      </xdr:nvSpPr>
      <xdr:spPr>
        <a:xfrm>
          <a:off x="7810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44</xdr:col>
      <xdr:colOff>0</xdr:colOff>
      <xdr:row>34</xdr:row>
      <xdr:rowOff>0</xdr:rowOff>
    </xdr:from>
    <xdr:to>
      <xdr:col>46</xdr:col>
      <xdr:colOff>0</xdr:colOff>
      <xdr:row>36</xdr:row>
      <xdr:rowOff>0</xdr:rowOff>
    </xdr:to>
    <xdr:sp macro="[0]!select_pile_4" textlink="">
      <xdr:nvSpPr>
        <xdr:cNvPr id="27" name="Rectangle 26">
          <a:extLst>
            <a:ext uri="{FF2B5EF4-FFF2-40B4-BE49-F238E27FC236}">
              <a16:creationId xmlns:a16="http://schemas.microsoft.com/office/drawing/2014/main" id="{11159743-45DA-4D01-AE75-240DB2371DD7}"/>
            </a:ext>
          </a:extLst>
        </xdr:cNvPr>
        <xdr:cNvSpPr/>
      </xdr:nvSpPr>
      <xdr:spPr>
        <a:xfrm>
          <a:off x="8382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46</xdr:col>
      <xdr:colOff>0</xdr:colOff>
      <xdr:row>34</xdr:row>
      <xdr:rowOff>0</xdr:rowOff>
    </xdr:from>
    <xdr:to>
      <xdr:col>48</xdr:col>
      <xdr:colOff>0</xdr:colOff>
      <xdr:row>36</xdr:row>
      <xdr:rowOff>0</xdr:rowOff>
    </xdr:to>
    <xdr:sp macro="[0]!moveToPile" textlink="">
      <xdr:nvSpPr>
        <xdr:cNvPr id="28" name="Rectangle 27">
          <a:extLst>
            <a:ext uri="{FF2B5EF4-FFF2-40B4-BE49-F238E27FC236}">
              <a16:creationId xmlns:a16="http://schemas.microsoft.com/office/drawing/2014/main" id="{7C649CF4-7505-4358-BCF8-B229A0AE8ACC}"/>
            </a:ext>
          </a:extLst>
        </xdr:cNvPr>
        <xdr:cNvSpPr/>
      </xdr:nvSpPr>
      <xdr:spPr>
        <a:xfrm>
          <a:off x="8763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49</xdr:col>
      <xdr:colOff>0</xdr:colOff>
      <xdr:row>34</xdr:row>
      <xdr:rowOff>0</xdr:rowOff>
    </xdr:from>
    <xdr:to>
      <xdr:col>51</xdr:col>
      <xdr:colOff>0</xdr:colOff>
      <xdr:row>36</xdr:row>
      <xdr:rowOff>0</xdr:rowOff>
    </xdr:to>
    <xdr:sp macro="[0]!select_pile_5" textlink="">
      <xdr:nvSpPr>
        <xdr:cNvPr id="29" name="Rectangle 28">
          <a:extLst>
            <a:ext uri="{FF2B5EF4-FFF2-40B4-BE49-F238E27FC236}">
              <a16:creationId xmlns:a16="http://schemas.microsoft.com/office/drawing/2014/main" id="{9404A975-E209-4ACD-B810-C341A12B04F9}"/>
            </a:ext>
          </a:extLst>
        </xdr:cNvPr>
        <xdr:cNvSpPr/>
      </xdr:nvSpPr>
      <xdr:spPr>
        <a:xfrm>
          <a:off x="9334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51</xdr:col>
      <xdr:colOff>0</xdr:colOff>
      <xdr:row>34</xdr:row>
      <xdr:rowOff>0</xdr:rowOff>
    </xdr:from>
    <xdr:to>
      <xdr:col>53</xdr:col>
      <xdr:colOff>0</xdr:colOff>
      <xdr:row>36</xdr:row>
      <xdr:rowOff>0</xdr:rowOff>
    </xdr:to>
    <xdr:sp macro="[0]!moveToPile" textlink="">
      <xdr:nvSpPr>
        <xdr:cNvPr id="30" name="Rectangle 29">
          <a:extLst>
            <a:ext uri="{FF2B5EF4-FFF2-40B4-BE49-F238E27FC236}">
              <a16:creationId xmlns:a16="http://schemas.microsoft.com/office/drawing/2014/main" id="{D8755AFF-6656-42A6-8C3F-C182362C0C61}"/>
            </a:ext>
          </a:extLst>
        </xdr:cNvPr>
        <xdr:cNvSpPr/>
      </xdr:nvSpPr>
      <xdr:spPr>
        <a:xfrm>
          <a:off x="9715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54</xdr:col>
      <xdr:colOff>0</xdr:colOff>
      <xdr:row>34</xdr:row>
      <xdr:rowOff>0</xdr:rowOff>
    </xdr:from>
    <xdr:to>
      <xdr:col>56</xdr:col>
      <xdr:colOff>0</xdr:colOff>
      <xdr:row>36</xdr:row>
      <xdr:rowOff>0</xdr:rowOff>
    </xdr:to>
    <xdr:sp macro="[0]!select_pile_6" textlink="">
      <xdr:nvSpPr>
        <xdr:cNvPr id="31" name="Rectangle 30">
          <a:extLst>
            <a:ext uri="{FF2B5EF4-FFF2-40B4-BE49-F238E27FC236}">
              <a16:creationId xmlns:a16="http://schemas.microsoft.com/office/drawing/2014/main" id="{3862F99F-3C30-48FC-8F82-AEAFEF0D072A}"/>
            </a:ext>
          </a:extLst>
        </xdr:cNvPr>
        <xdr:cNvSpPr/>
      </xdr:nvSpPr>
      <xdr:spPr>
        <a:xfrm>
          <a:off x="10287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56</xdr:col>
      <xdr:colOff>0</xdr:colOff>
      <xdr:row>34</xdr:row>
      <xdr:rowOff>0</xdr:rowOff>
    </xdr:from>
    <xdr:to>
      <xdr:col>58</xdr:col>
      <xdr:colOff>0</xdr:colOff>
      <xdr:row>36</xdr:row>
      <xdr:rowOff>0</xdr:rowOff>
    </xdr:to>
    <xdr:sp macro="[0]!moveToPile" textlink="">
      <xdr:nvSpPr>
        <xdr:cNvPr id="32" name="Rectangle 31">
          <a:extLst>
            <a:ext uri="{FF2B5EF4-FFF2-40B4-BE49-F238E27FC236}">
              <a16:creationId xmlns:a16="http://schemas.microsoft.com/office/drawing/2014/main" id="{FE56E314-1DDB-472E-9E5C-122802576258}"/>
            </a:ext>
          </a:extLst>
        </xdr:cNvPr>
        <xdr:cNvSpPr/>
      </xdr:nvSpPr>
      <xdr:spPr>
        <a:xfrm>
          <a:off x="10668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59</xdr:col>
      <xdr:colOff>0</xdr:colOff>
      <xdr:row>34</xdr:row>
      <xdr:rowOff>0</xdr:rowOff>
    </xdr:from>
    <xdr:to>
      <xdr:col>61</xdr:col>
      <xdr:colOff>0</xdr:colOff>
      <xdr:row>36</xdr:row>
      <xdr:rowOff>0</xdr:rowOff>
    </xdr:to>
    <xdr:sp macro="[0]!select_pile_7" textlink="">
      <xdr:nvSpPr>
        <xdr:cNvPr id="33" name="Rectangle 32">
          <a:extLst>
            <a:ext uri="{FF2B5EF4-FFF2-40B4-BE49-F238E27FC236}">
              <a16:creationId xmlns:a16="http://schemas.microsoft.com/office/drawing/2014/main" id="{48D52D4B-5015-4BD9-B044-CA4CA000FB16}"/>
            </a:ext>
          </a:extLst>
        </xdr:cNvPr>
        <xdr:cNvSpPr/>
      </xdr:nvSpPr>
      <xdr:spPr>
        <a:xfrm>
          <a:off x="11239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61</xdr:col>
      <xdr:colOff>0</xdr:colOff>
      <xdr:row>34</xdr:row>
      <xdr:rowOff>0</xdr:rowOff>
    </xdr:from>
    <xdr:to>
      <xdr:col>63</xdr:col>
      <xdr:colOff>0</xdr:colOff>
      <xdr:row>36</xdr:row>
      <xdr:rowOff>0</xdr:rowOff>
    </xdr:to>
    <xdr:sp macro="[0]!moveToPile" textlink="">
      <xdr:nvSpPr>
        <xdr:cNvPr id="34" name="Rectangle 33">
          <a:extLst>
            <a:ext uri="{FF2B5EF4-FFF2-40B4-BE49-F238E27FC236}">
              <a16:creationId xmlns:a16="http://schemas.microsoft.com/office/drawing/2014/main" id="{66FECF2C-DE0F-40AF-A0C0-DF950288A754}"/>
            </a:ext>
          </a:extLst>
        </xdr:cNvPr>
        <xdr:cNvSpPr/>
      </xdr:nvSpPr>
      <xdr:spPr>
        <a:xfrm>
          <a:off x="11620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64</xdr:col>
      <xdr:colOff>0</xdr:colOff>
      <xdr:row>34</xdr:row>
      <xdr:rowOff>0</xdr:rowOff>
    </xdr:from>
    <xdr:to>
      <xdr:col>66</xdr:col>
      <xdr:colOff>0</xdr:colOff>
      <xdr:row>36</xdr:row>
      <xdr:rowOff>0</xdr:rowOff>
    </xdr:to>
    <xdr:sp macro="[0]!select_pile_8" textlink="">
      <xdr:nvSpPr>
        <xdr:cNvPr id="35" name="Rectangle 34">
          <a:extLst>
            <a:ext uri="{FF2B5EF4-FFF2-40B4-BE49-F238E27FC236}">
              <a16:creationId xmlns:a16="http://schemas.microsoft.com/office/drawing/2014/main" id="{B0150A26-E09A-4856-90CF-B04C8082AC65}"/>
            </a:ext>
          </a:extLst>
        </xdr:cNvPr>
        <xdr:cNvSpPr/>
      </xdr:nvSpPr>
      <xdr:spPr>
        <a:xfrm>
          <a:off x="12192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66</xdr:col>
      <xdr:colOff>0</xdr:colOff>
      <xdr:row>34</xdr:row>
      <xdr:rowOff>0</xdr:rowOff>
    </xdr:from>
    <xdr:to>
      <xdr:col>68</xdr:col>
      <xdr:colOff>0</xdr:colOff>
      <xdr:row>36</xdr:row>
      <xdr:rowOff>0</xdr:rowOff>
    </xdr:to>
    <xdr:sp macro="[0]!moveToPile" textlink="">
      <xdr:nvSpPr>
        <xdr:cNvPr id="36" name="Rectangle 35">
          <a:extLst>
            <a:ext uri="{FF2B5EF4-FFF2-40B4-BE49-F238E27FC236}">
              <a16:creationId xmlns:a16="http://schemas.microsoft.com/office/drawing/2014/main" id="{77B469F4-D502-4273-9186-9867D1716760}"/>
            </a:ext>
          </a:extLst>
        </xdr:cNvPr>
        <xdr:cNvSpPr/>
      </xdr:nvSpPr>
      <xdr:spPr>
        <a:xfrm>
          <a:off x="12573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69</xdr:col>
      <xdr:colOff>0</xdr:colOff>
      <xdr:row>34</xdr:row>
      <xdr:rowOff>0</xdr:rowOff>
    </xdr:from>
    <xdr:to>
      <xdr:col>71</xdr:col>
      <xdr:colOff>0</xdr:colOff>
      <xdr:row>36</xdr:row>
      <xdr:rowOff>0</xdr:rowOff>
    </xdr:to>
    <xdr:sp macro="[0]!select_pile_9" textlink="">
      <xdr:nvSpPr>
        <xdr:cNvPr id="37" name="Rectangle 36">
          <a:extLst>
            <a:ext uri="{FF2B5EF4-FFF2-40B4-BE49-F238E27FC236}">
              <a16:creationId xmlns:a16="http://schemas.microsoft.com/office/drawing/2014/main" id="{4E7679B1-1DDA-4028-B101-25B3F8BF77B9}"/>
            </a:ext>
          </a:extLst>
        </xdr:cNvPr>
        <xdr:cNvSpPr/>
      </xdr:nvSpPr>
      <xdr:spPr>
        <a:xfrm>
          <a:off x="13144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71</xdr:col>
      <xdr:colOff>0</xdr:colOff>
      <xdr:row>34</xdr:row>
      <xdr:rowOff>0</xdr:rowOff>
    </xdr:from>
    <xdr:to>
      <xdr:col>73</xdr:col>
      <xdr:colOff>0</xdr:colOff>
      <xdr:row>36</xdr:row>
      <xdr:rowOff>0</xdr:rowOff>
    </xdr:to>
    <xdr:sp macro="[0]!moveToPile" textlink="">
      <xdr:nvSpPr>
        <xdr:cNvPr id="38" name="Rectangle 37">
          <a:extLst>
            <a:ext uri="{FF2B5EF4-FFF2-40B4-BE49-F238E27FC236}">
              <a16:creationId xmlns:a16="http://schemas.microsoft.com/office/drawing/2014/main" id="{79B87011-D0CC-47CC-8A7C-7A3F60CEDBB3}"/>
            </a:ext>
          </a:extLst>
        </xdr:cNvPr>
        <xdr:cNvSpPr/>
      </xdr:nvSpPr>
      <xdr:spPr>
        <a:xfrm>
          <a:off x="13525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74</xdr:col>
      <xdr:colOff>0</xdr:colOff>
      <xdr:row>34</xdr:row>
      <xdr:rowOff>0</xdr:rowOff>
    </xdr:from>
    <xdr:to>
      <xdr:col>76</xdr:col>
      <xdr:colOff>0</xdr:colOff>
      <xdr:row>36</xdr:row>
      <xdr:rowOff>0</xdr:rowOff>
    </xdr:to>
    <xdr:sp macro="[0]!select_pile_10" textlink="">
      <xdr:nvSpPr>
        <xdr:cNvPr id="39" name="Rectangle 38">
          <a:extLst>
            <a:ext uri="{FF2B5EF4-FFF2-40B4-BE49-F238E27FC236}">
              <a16:creationId xmlns:a16="http://schemas.microsoft.com/office/drawing/2014/main" id="{E5AF6222-A858-44E0-B132-4E71D56EC2A4}"/>
            </a:ext>
          </a:extLst>
        </xdr:cNvPr>
        <xdr:cNvSpPr/>
      </xdr:nvSpPr>
      <xdr:spPr>
        <a:xfrm>
          <a:off x="14097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76</xdr:col>
      <xdr:colOff>0</xdr:colOff>
      <xdr:row>34</xdr:row>
      <xdr:rowOff>0</xdr:rowOff>
    </xdr:from>
    <xdr:to>
      <xdr:col>78</xdr:col>
      <xdr:colOff>0</xdr:colOff>
      <xdr:row>36</xdr:row>
      <xdr:rowOff>0</xdr:rowOff>
    </xdr:to>
    <xdr:sp macro="[0]!moveToPile" textlink="">
      <xdr:nvSpPr>
        <xdr:cNvPr id="40" name="Rectangle 39">
          <a:extLst>
            <a:ext uri="{FF2B5EF4-FFF2-40B4-BE49-F238E27FC236}">
              <a16:creationId xmlns:a16="http://schemas.microsoft.com/office/drawing/2014/main" id="{EE0587F3-E8D1-44F7-BCD8-CC0ECD7D08EB}"/>
            </a:ext>
          </a:extLst>
        </xdr:cNvPr>
        <xdr:cNvSpPr/>
      </xdr:nvSpPr>
      <xdr:spPr>
        <a:xfrm>
          <a:off x="14478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79</xdr:col>
      <xdr:colOff>0</xdr:colOff>
      <xdr:row>34</xdr:row>
      <xdr:rowOff>0</xdr:rowOff>
    </xdr:from>
    <xdr:to>
      <xdr:col>81</xdr:col>
      <xdr:colOff>0</xdr:colOff>
      <xdr:row>36</xdr:row>
      <xdr:rowOff>0</xdr:rowOff>
    </xdr:to>
    <xdr:sp macro="[0]!select_pile_11" textlink="">
      <xdr:nvSpPr>
        <xdr:cNvPr id="41" name="Rectangle 40">
          <a:extLst>
            <a:ext uri="{FF2B5EF4-FFF2-40B4-BE49-F238E27FC236}">
              <a16:creationId xmlns:a16="http://schemas.microsoft.com/office/drawing/2014/main" id="{62D48DEB-5A0F-4AAC-8AA1-BF5DF32F5D86}"/>
            </a:ext>
          </a:extLst>
        </xdr:cNvPr>
        <xdr:cNvSpPr/>
      </xdr:nvSpPr>
      <xdr:spPr>
        <a:xfrm>
          <a:off x="15049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81</xdr:col>
      <xdr:colOff>0</xdr:colOff>
      <xdr:row>34</xdr:row>
      <xdr:rowOff>0</xdr:rowOff>
    </xdr:from>
    <xdr:to>
      <xdr:col>83</xdr:col>
      <xdr:colOff>0</xdr:colOff>
      <xdr:row>36</xdr:row>
      <xdr:rowOff>0</xdr:rowOff>
    </xdr:to>
    <xdr:sp macro="[0]!moveToPile" textlink="">
      <xdr:nvSpPr>
        <xdr:cNvPr id="42" name="Rectangle 41">
          <a:extLst>
            <a:ext uri="{FF2B5EF4-FFF2-40B4-BE49-F238E27FC236}">
              <a16:creationId xmlns:a16="http://schemas.microsoft.com/office/drawing/2014/main" id="{BF5AA5B8-A8A8-4443-B7FD-1DE03D17BF78}"/>
            </a:ext>
          </a:extLst>
        </xdr:cNvPr>
        <xdr:cNvSpPr/>
      </xdr:nvSpPr>
      <xdr:spPr>
        <a:xfrm>
          <a:off x="15430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84</xdr:col>
      <xdr:colOff>0</xdr:colOff>
      <xdr:row>34</xdr:row>
      <xdr:rowOff>0</xdr:rowOff>
    </xdr:from>
    <xdr:to>
      <xdr:col>86</xdr:col>
      <xdr:colOff>0</xdr:colOff>
      <xdr:row>36</xdr:row>
      <xdr:rowOff>0</xdr:rowOff>
    </xdr:to>
    <xdr:sp macro="[0]!select_pile_12" textlink="">
      <xdr:nvSpPr>
        <xdr:cNvPr id="43" name="Rectangle 42">
          <a:extLst>
            <a:ext uri="{FF2B5EF4-FFF2-40B4-BE49-F238E27FC236}">
              <a16:creationId xmlns:a16="http://schemas.microsoft.com/office/drawing/2014/main" id="{6CB72264-DB4A-4371-AAA7-E0049CEDEBDB}"/>
            </a:ext>
          </a:extLst>
        </xdr:cNvPr>
        <xdr:cNvSpPr/>
      </xdr:nvSpPr>
      <xdr:spPr>
        <a:xfrm>
          <a:off x="16002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86</xdr:col>
      <xdr:colOff>0</xdr:colOff>
      <xdr:row>34</xdr:row>
      <xdr:rowOff>0</xdr:rowOff>
    </xdr:from>
    <xdr:to>
      <xdr:col>88</xdr:col>
      <xdr:colOff>0</xdr:colOff>
      <xdr:row>36</xdr:row>
      <xdr:rowOff>0</xdr:rowOff>
    </xdr:to>
    <xdr:sp macro="[0]!moveToPile" textlink="">
      <xdr:nvSpPr>
        <xdr:cNvPr id="44" name="Rectangle 43">
          <a:extLst>
            <a:ext uri="{FF2B5EF4-FFF2-40B4-BE49-F238E27FC236}">
              <a16:creationId xmlns:a16="http://schemas.microsoft.com/office/drawing/2014/main" id="{C72FAABB-B602-40CB-BCC5-6EDAD0BBF807}"/>
            </a:ext>
          </a:extLst>
        </xdr:cNvPr>
        <xdr:cNvSpPr/>
      </xdr:nvSpPr>
      <xdr:spPr>
        <a:xfrm>
          <a:off x="163830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89</xdr:col>
      <xdr:colOff>0</xdr:colOff>
      <xdr:row>34</xdr:row>
      <xdr:rowOff>0</xdr:rowOff>
    </xdr:from>
    <xdr:to>
      <xdr:col>91</xdr:col>
      <xdr:colOff>0</xdr:colOff>
      <xdr:row>36</xdr:row>
      <xdr:rowOff>0</xdr:rowOff>
    </xdr:to>
    <xdr:sp macro="[0]!select_pile_13" textlink="">
      <xdr:nvSpPr>
        <xdr:cNvPr id="45" name="Rectangle 44">
          <a:extLst>
            <a:ext uri="{FF2B5EF4-FFF2-40B4-BE49-F238E27FC236}">
              <a16:creationId xmlns:a16="http://schemas.microsoft.com/office/drawing/2014/main" id="{0AA02740-74B0-4422-8BCD-F08A50D92395}"/>
            </a:ext>
          </a:extLst>
        </xdr:cNvPr>
        <xdr:cNvSpPr/>
      </xdr:nvSpPr>
      <xdr:spPr>
        <a:xfrm>
          <a:off x="16954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91</xdr:col>
      <xdr:colOff>0</xdr:colOff>
      <xdr:row>34</xdr:row>
      <xdr:rowOff>0</xdr:rowOff>
    </xdr:from>
    <xdr:to>
      <xdr:col>93</xdr:col>
      <xdr:colOff>0</xdr:colOff>
      <xdr:row>36</xdr:row>
      <xdr:rowOff>0</xdr:rowOff>
    </xdr:to>
    <xdr:sp macro="[0]!moveToPile" textlink="">
      <xdr:nvSpPr>
        <xdr:cNvPr id="46" name="Rectangle 45">
          <a:extLst>
            <a:ext uri="{FF2B5EF4-FFF2-40B4-BE49-F238E27FC236}">
              <a16:creationId xmlns:a16="http://schemas.microsoft.com/office/drawing/2014/main" id="{0BBC422A-346E-4A33-88F0-31D3BEA9E5B9}"/>
            </a:ext>
          </a:extLst>
        </xdr:cNvPr>
        <xdr:cNvSpPr/>
      </xdr:nvSpPr>
      <xdr:spPr>
        <a:xfrm>
          <a:off x="17335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</xdr:col>
      <xdr:colOff>0</xdr:colOff>
      <xdr:row>13</xdr:row>
      <xdr:rowOff>0</xdr:rowOff>
    </xdr:from>
    <xdr:to>
      <xdr:col>8</xdr:col>
      <xdr:colOff>0</xdr:colOff>
      <xdr:row>15</xdr:row>
      <xdr:rowOff>0</xdr:rowOff>
    </xdr:to>
    <xdr:sp macro="[0]!select_A2K_H" textlink="">
      <xdr:nvSpPr>
        <xdr:cNvPr id="47" name="Rectangle 46">
          <a:extLst>
            <a:ext uri="{FF2B5EF4-FFF2-40B4-BE49-F238E27FC236}">
              <a16:creationId xmlns:a16="http://schemas.microsoft.com/office/drawing/2014/main" id="{38550DB2-C1C0-455C-8B01-3DF28EB96DFF}"/>
            </a:ext>
          </a:extLst>
        </xdr:cNvPr>
        <xdr:cNvSpPr/>
      </xdr:nvSpPr>
      <xdr:spPr>
        <a:xfrm>
          <a:off x="1143000" y="24765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</xdr:col>
      <xdr:colOff>0</xdr:colOff>
      <xdr:row>15</xdr:row>
      <xdr:rowOff>1</xdr:rowOff>
    </xdr:from>
    <xdr:to>
      <xdr:col>10</xdr:col>
      <xdr:colOff>0</xdr:colOff>
      <xdr:row>17</xdr:row>
      <xdr:rowOff>1</xdr:rowOff>
    </xdr:to>
    <xdr:sp macro="[0]!moveToFoundation_A2K_H" textlink="">
      <xdr:nvSpPr>
        <xdr:cNvPr id="48" name="Rectangle 47">
          <a:extLst>
            <a:ext uri="{FF2B5EF4-FFF2-40B4-BE49-F238E27FC236}">
              <a16:creationId xmlns:a16="http://schemas.microsoft.com/office/drawing/2014/main" id="{B8B1405F-B455-43D7-8D49-51EC9C5C39AB}"/>
            </a:ext>
          </a:extLst>
        </xdr:cNvPr>
        <xdr:cNvSpPr/>
      </xdr:nvSpPr>
      <xdr:spPr>
        <a:xfrm>
          <a:off x="1143000" y="28575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8</xdr:col>
      <xdr:colOff>0</xdr:colOff>
      <xdr:row>22</xdr:row>
      <xdr:rowOff>0</xdr:rowOff>
    </xdr:to>
    <xdr:sp macro="[0]!select_A2K_C" textlink="">
      <xdr:nvSpPr>
        <xdr:cNvPr id="49" name="Rectangle 48">
          <a:extLst>
            <a:ext uri="{FF2B5EF4-FFF2-40B4-BE49-F238E27FC236}">
              <a16:creationId xmlns:a16="http://schemas.microsoft.com/office/drawing/2014/main" id="{7FFBEFD6-AC69-4C9B-9239-26E5CCF7CF0A}"/>
            </a:ext>
          </a:extLst>
        </xdr:cNvPr>
        <xdr:cNvSpPr/>
      </xdr:nvSpPr>
      <xdr:spPr>
        <a:xfrm>
          <a:off x="1143000" y="3810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</xdr:col>
      <xdr:colOff>0</xdr:colOff>
      <xdr:row>22</xdr:row>
      <xdr:rowOff>0</xdr:rowOff>
    </xdr:from>
    <xdr:to>
      <xdr:col>10</xdr:col>
      <xdr:colOff>0</xdr:colOff>
      <xdr:row>24</xdr:row>
      <xdr:rowOff>0</xdr:rowOff>
    </xdr:to>
    <xdr:sp macro="[0]!moveToFoundation_A2K_C" textlink="">
      <xdr:nvSpPr>
        <xdr:cNvPr id="50" name="Rectangle 49">
          <a:extLst>
            <a:ext uri="{FF2B5EF4-FFF2-40B4-BE49-F238E27FC236}">
              <a16:creationId xmlns:a16="http://schemas.microsoft.com/office/drawing/2014/main" id="{C2DEA97A-A7C9-44D6-835D-4F3640CB817D}"/>
            </a:ext>
          </a:extLst>
        </xdr:cNvPr>
        <xdr:cNvSpPr/>
      </xdr:nvSpPr>
      <xdr:spPr>
        <a:xfrm>
          <a:off x="1143000" y="4191000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</xdr:col>
      <xdr:colOff>0</xdr:colOff>
      <xdr:row>27</xdr:row>
      <xdr:rowOff>0</xdr:rowOff>
    </xdr:from>
    <xdr:to>
      <xdr:col>8</xdr:col>
      <xdr:colOff>0</xdr:colOff>
      <xdr:row>29</xdr:row>
      <xdr:rowOff>0</xdr:rowOff>
    </xdr:to>
    <xdr:sp macro="[0]!select_A2K_D" textlink="">
      <xdr:nvSpPr>
        <xdr:cNvPr id="51" name="Rectangle 50">
          <a:extLst>
            <a:ext uri="{FF2B5EF4-FFF2-40B4-BE49-F238E27FC236}">
              <a16:creationId xmlns:a16="http://schemas.microsoft.com/office/drawing/2014/main" id="{C9664938-8671-4427-86C1-996368E8D2D7}"/>
            </a:ext>
          </a:extLst>
        </xdr:cNvPr>
        <xdr:cNvSpPr/>
      </xdr:nvSpPr>
      <xdr:spPr>
        <a:xfrm>
          <a:off x="1143000" y="51435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</xdr:col>
      <xdr:colOff>0</xdr:colOff>
      <xdr:row>29</xdr:row>
      <xdr:rowOff>0</xdr:rowOff>
    </xdr:from>
    <xdr:to>
      <xdr:col>10</xdr:col>
      <xdr:colOff>0</xdr:colOff>
      <xdr:row>31</xdr:row>
      <xdr:rowOff>0</xdr:rowOff>
    </xdr:to>
    <xdr:sp macro="[0]!moveToFoundation_A2K_D" textlink="">
      <xdr:nvSpPr>
        <xdr:cNvPr id="52" name="Rectangle 51">
          <a:extLst>
            <a:ext uri="{FF2B5EF4-FFF2-40B4-BE49-F238E27FC236}">
              <a16:creationId xmlns:a16="http://schemas.microsoft.com/office/drawing/2014/main" id="{D24F8AF4-506B-4390-9C1B-470C65C0E2F1}"/>
            </a:ext>
          </a:extLst>
        </xdr:cNvPr>
        <xdr:cNvSpPr/>
      </xdr:nvSpPr>
      <xdr:spPr>
        <a:xfrm>
          <a:off x="1143000" y="5524500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[0]!select_A2K_S" textlink="">
      <xdr:nvSpPr>
        <xdr:cNvPr id="53" name="Rectangle 52">
          <a:extLst>
            <a:ext uri="{FF2B5EF4-FFF2-40B4-BE49-F238E27FC236}">
              <a16:creationId xmlns:a16="http://schemas.microsoft.com/office/drawing/2014/main" id="{E720D530-85AC-4234-ACB4-F40C58F503C8}"/>
            </a:ext>
          </a:extLst>
        </xdr:cNvPr>
        <xdr:cNvSpPr/>
      </xdr:nvSpPr>
      <xdr:spPr>
        <a:xfrm>
          <a:off x="1143000" y="1143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6</xdr:col>
      <xdr:colOff>0</xdr:colOff>
      <xdr:row>8</xdr:row>
      <xdr:rowOff>1</xdr:rowOff>
    </xdr:from>
    <xdr:to>
      <xdr:col>10</xdr:col>
      <xdr:colOff>0</xdr:colOff>
      <xdr:row>10</xdr:row>
      <xdr:rowOff>1</xdr:rowOff>
    </xdr:to>
    <xdr:sp macro="[0]!moveToFoundation_A2K_S" textlink="">
      <xdr:nvSpPr>
        <xdr:cNvPr id="54" name="Rectangle 53">
          <a:extLst>
            <a:ext uri="{FF2B5EF4-FFF2-40B4-BE49-F238E27FC236}">
              <a16:creationId xmlns:a16="http://schemas.microsoft.com/office/drawing/2014/main" id="{A0EF3CCD-5699-43F8-A4C0-6F9E91E93701}"/>
            </a:ext>
          </a:extLst>
        </xdr:cNvPr>
        <xdr:cNvSpPr/>
      </xdr:nvSpPr>
      <xdr:spPr>
        <a:xfrm>
          <a:off x="1143000" y="15240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13</xdr:col>
      <xdr:colOff>0</xdr:colOff>
      <xdr:row>8</xdr:row>
      <xdr:rowOff>0</xdr:rowOff>
    </xdr:to>
    <xdr:sp macro="[0]!select_K2A_S" textlink="">
      <xdr:nvSpPr>
        <xdr:cNvPr id="55" name="Rectangle 54">
          <a:extLst>
            <a:ext uri="{FF2B5EF4-FFF2-40B4-BE49-F238E27FC236}">
              <a16:creationId xmlns:a16="http://schemas.microsoft.com/office/drawing/2014/main" id="{DEFF4B0A-5934-4AE8-BD5F-B4BDD7A5FE67}"/>
            </a:ext>
          </a:extLst>
        </xdr:cNvPr>
        <xdr:cNvSpPr/>
      </xdr:nvSpPr>
      <xdr:spPr>
        <a:xfrm>
          <a:off x="2095500" y="1143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11</xdr:col>
      <xdr:colOff>0</xdr:colOff>
      <xdr:row>8</xdr:row>
      <xdr:rowOff>1</xdr:rowOff>
    </xdr:from>
    <xdr:to>
      <xdr:col>15</xdr:col>
      <xdr:colOff>0</xdr:colOff>
      <xdr:row>10</xdr:row>
      <xdr:rowOff>1</xdr:rowOff>
    </xdr:to>
    <xdr:sp macro="[0]!moveToFoundation_K2A_S" textlink="">
      <xdr:nvSpPr>
        <xdr:cNvPr id="56" name="Rectangle 55">
          <a:extLst>
            <a:ext uri="{FF2B5EF4-FFF2-40B4-BE49-F238E27FC236}">
              <a16:creationId xmlns:a16="http://schemas.microsoft.com/office/drawing/2014/main" id="{34A7864F-4189-4B4F-BB6A-42E94A1A9695}"/>
            </a:ext>
          </a:extLst>
        </xdr:cNvPr>
        <xdr:cNvSpPr/>
      </xdr:nvSpPr>
      <xdr:spPr>
        <a:xfrm>
          <a:off x="2095500" y="15240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13</xdr:col>
      <xdr:colOff>0</xdr:colOff>
      <xdr:row>15</xdr:row>
      <xdr:rowOff>0</xdr:rowOff>
    </xdr:to>
    <xdr:sp macro="[0]!select_K2A_H" textlink="">
      <xdr:nvSpPr>
        <xdr:cNvPr id="57" name="Rectangle 56">
          <a:extLst>
            <a:ext uri="{FF2B5EF4-FFF2-40B4-BE49-F238E27FC236}">
              <a16:creationId xmlns:a16="http://schemas.microsoft.com/office/drawing/2014/main" id="{1DED93A3-69D4-4469-B13A-623E3CE1819D}"/>
            </a:ext>
          </a:extLst>
        </xdr:cNvPr>
        <xdr:cNvSpPr/>
      </xdr:nvSpPr>
      <xdr:spPr>
        <a:xfrm>
          <a:off x="2095500" y="24765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11</xdr:col>
      <xdr:colOff>0</xdr:colOff>
      <xdr:row>15</xdr:row>
      <xdr:rowOff>1</xdr:rowOff>
    </xdr:from>
    <xdr:to>
      <xdr:col>15</xdr:col>
      <xdr:colOff>0</xdr:colOff>
      <xdr:row>17</xdr:row>
      <xdr:rowOff>1</xdr:rowOff>
    </xdr:to>
    <xdr:sp macro="[0]!moveToFoundation_K2A_H" textlink="">
      <xdr:nvSpPr>
        <xdr:cNvPr id="58" name="Rectangle 57">
          <a:extLst>
            <a:ext uri="{FF2B5EF4-FFF2-40B4-BE49-F238E27FC236}">
              <a16:creationId xmlns:a16="http://schemas.microsoft.com/office/drawing/2014/main" id="{FB579150-2009-4D22-A5EB-010B338A7FDD}"/>
            </a:ext>
          </a:extLst>
        </xdr:cNvPr>
        <xdr:cNvSpPr/>
      </xdr:nvSpPr>
      <xdr:spPr>
        <a:xfrm>
          <a:off x="2095500" y="28575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13</xdr:col>
      <xdr:colOff>0</xdr:colOff>
      <xdr:row>22</xdr:row>
      <xdr:rowOff>0</xdr:rowOff>
    </xdr:to>
    <xdr:sp macro="[0]!select_K2A_C" textlink="">
      <xdr:nvSpPr>
        <xdr:cNvPr id="59" name="Rectangle 58">
          <a:extLst>
            <a:ext uri="{FF2B5EF4-FFF2-40B4-BE49-F238E27FC236}">
              <a16:creationId xmlns:a16="http://schemas.microsoft.com/office/drawing/2014/main" id="{E4ED6656-E522-45B5-8776-94047804641D}"/>
            </a:ext>
          </a:extLst>
        </xdr:cNvPr>
        <xdr:cNvSpPr/>
      </xdr:nvSpPr>
      <xdr:spPr>
        <a:xfrm>
          <a:off x="2095500" y="3810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11</xdr:col>
      <xdr:colOff>0</xdr:colOff>
      <xdr:row>22</xdr:row>
      <xdr:rowOff>1</xdr:rowOff>
    </xdr:from>
    <xdr:to>
      <xdr:col>15</xdr:col>
      <xdr:colOff>0</xdr:colOff>
      <xdr:row>24</xdr:row>
      <xdr:rowOff>1</xdr:rowOff>
    </xdr:to>
    <xdr:sp macro="[0]!moveToFoundation_K2A_C" textlink="">
      <xdr:nvSpPr>
        <xdr:cNvPr id="60" name="Rectangle 59">
          <a:extLst>
            <a:ext uri="{FF2B5EF4-FFF2-40B4-BE49-F238E27FC236}">
              <a16:creationId xmlns:a16="http://schemas.microsoft.com/office/drawing/2014/main" id="{36540F68-BF4D-4C2A-A47F-30B4ADBB9091}"/>
            </a:ext>
          </a:extLst>
        </xdr:cNvPr>
        <xdr:cNvSpPr/>
      </xdr:nvSpPr>
      <xdr:spPr>
        <a:xfrm>
          <a:off x="2095500" y="41910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13</xdr:col>
      <xdr:colOff>0</xdr:colOff>
      <xdr:row>29</xdr:row>
      <xdr:rowOff>0</xdr:rowOff>
    </xdr:to>
    <xdr:sp macro="[0]!select_K2A_D" textlink="">
      <xdr:nvSpPr>
        <xdr:cNvPr id="61" name="Rectangle 60">
          <a:extLst>
            <a:ext uri="{FF2B5EF4-FFF2-40B4-BE49-F238E27FC236}">
              <a16:creationId xmlns:a16="http://schemas.microsoft.com/office/drawing/2014/main" id="{85AF4059-4F0A-4313-B7B7-67BBC0253C16}"/>
            </a:ext>
          </a:extLst>
        </xdr:cNvPr>
        <xdr:cNvSpPr/>
      </xdr:nvSpPr>
      <xdr:spPr>
        <a:xfrm>
          <a:off x="2095500" y="51435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Select</a:t>
          </a:r>
        </a:p>
      </xdr:txBody>
    </xdr:sp>
    <xdr:clientData/>
  </xdr:twoCellAnchor>
  <xdr:twoCellAnchor>
    <xdr:from>
      <xdr:col>11</xdr:col>
      <xdr:colOff>0</xdr:colOff>
      <xdr:row>29</xdr:row>
      <xdr:rowOff>1</xdr:rowOff>
    </xdr:from>
    <xdr:to>
      <xdr:col>15</xdr:col>
      <xdr:colOff>0</xdr:colOff>
      <xdr:row>31</xdr:row>
      <xdr:rowOff>1</xdr:rowOff>
    </xdr:to>
    <xdr:sp macro="[0]!moveToFoundation_K2A_D" textlink="">
      <xdr:nvSpPr>
        <xdr:cNvPr id="62" name="Rectangle 61">
          <a:extLst>
            <a:ext uri="{FF2B5EF4-FFF2-40B4-BE49-F238E27FC236}">
              <a16:creationId xmlns:a16="http://schemas.microsoft.com/office/drawing/2014/main" id="{A0DB7044-98F7-4761-A690-FD72BC2CD836}"/>
            </a:ext>
          </a:extLst>
        </xdr:cNvPr>
        <xdr:cNvSpPr/>
      </xdr:nvSpPr>
      <xdr:spPr>
        <a:xfrm>
          <a:off x="2095500" y="5524501"/>
          <a:ext cx="762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000"/>
            <a:t>Move</a:t>
          </a:r>
        </a:p>
      </xdr:txBody>
    </xdr:sp>
    <xdr:clientData/>
  </xdr:twoCellAnchor>
  <xdr:twoCellAnchor>
    <xdr:from>
      <xdr:col>19</xdr:col>
      <xdr:colOff>0</xdr:colOff>
      <xdr:row>6</xdr:row>
      <xdr:rowOff>0</xdr:rowOff>
    </xdr:from>
    <xdr:to>
      <xdr:col>21</xdr:col>
      <xdr:colOff>0</xdr:colOff>
      <xdr:row>8</xdr:row>
      <xdr:rowOff>0</xdr:rowOff>
    </xdr:to>
    <xdr:sp macro="[0]!moveToWSPosition_2" textlink="">
      <xdr:nvSpPr>
        <xdr:cNvPr id="63" name="Rectangle 62">
          <a:extLst>
            <a:ext uri="{FF2B5EF4-FFF2-40B4-BE49-F238E27FC236}">
              <a16:creationId xmlns:a16="http://schemas.microsoft.com/office/drawing/2014/main" id="{EA9E8FE2-DE80-4D92-AE54-760833EF421B}"/>
            </a:ext>
          </a:extLst>
        </xdr:cNvPr>
        <xdr:cNvSpPr/>
      </xdr:nvSpPr>
      <xdr:spPr>
        <a:xfrm>
          <a:off x="4000500" y="1143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8</xdr:row>
      <xdr:rowOff>0</xdr:rowOff>
    </xdr:from>
    <xdr:to>
      <xdr:col>21</xdr:col>
      <xdr:colOff>0</xdr:colOff>
      <xdr:row>10</xdr:row>
      <xdr:rowOff>0</xdr:rowOff>
    </xdr:to>
    <xdr:sp macro="[0]!moveToWSPosition_3" textlink="">
      <xdr:nvSpPr>
        <xdr:cNvPr id="64" name="Rectangle 63">
          <a:extLst>
            <a:ext uri="{FF2B5EF4-FFF2-40B4-BE49-F238E27FC236}">
              <a16:creationId xmlns:a16="http://schemas.microsoft.com/office/drawing/2014/main" id="{1157E689-ABF9-450A-B489-201305F4B37E}"/>
            </a:ext>
          </a:extLst>
        </xdr:cNvPr>
        <xdr:cNvSpPr/>
      </xdr:nvSpPr>
      <xdr:spPr>
        <a:xfrm>
          <a:off x="4000500" y="1524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10</xdr:row>
      <xdr:rowOff>0</xdr:rowOff>
    </xdr:from>
    <xdr:to>
      <xdr:col>21</xdr:col>
      <xdr:colOff>0</xdr:colOff>
      <xdr:row>12</xdr:row>
      <xdr:rowOff>0</xdr:rowOff>
    </xdr:to>
    <xdr:sp macro="[0]!moveToWSPosition_4" textlink="">
      <xdr:nvSpPr>
        <xdr:cNvPr id="65" name="Rectangle 64">
          <a:extLst>
            <a:ext uri="{FF2B5EF4-FFF2-40B4-BE49-F238E27FC236}">
              <a16:creationId xmlns:a16="http://schemas.microsoft.com/office/drawing/2014/main" id="{51BF7823-67F9-4E95-9735-25D75CC23C4A}"/>
            </a:ext>
          </a:extLst>
        </xdr:cNvPr>
        <xdr:cNvSpPr/>
      </xdr:nvSpPr>
      <xdr:spPr>
        <a:xfrm>
          <a:off x="4000500" y="1905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12</xdr:row>
      <xdr:rowOff>0</xdr:rowOff>
    </xdr:from>
    <xdr:to>
      <xdr:col>21</xdr:col>
      <xdr:colOff>0</xdr:colOff>
      <xdr:row>14</xdr:row>
      <xdr:rowOff>0</xdr:rowOff>
    </xdr:to>
    <xdr:sp macro="[0]!moveToWSPosition_5" textlink="">
      <xdr:nvSpPr>
        <xdr:cNvPr id="66" name="Rectangle 65">
          <a:extLst>
            <a:ext uri="{FF2B5EF4-FFF2-40B4-BE49-F238E27FC236}">
              <a16:creationId xmlns:a16="http://schemas.microsoft.com/office/drawing/2014/main" id="{309EC069-DF0F-4FD9-988B-79370A381E03}"/>
            </a:ext>
          </a:extLst>
        </xdr:cNvPr>
        <xdr:cNvSpPr/>
      </xdr:nvSpPr>
      <xdr:spPr>
        <a:xfrm>
          <a:off x="4000500" y="2286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14</xdr:row>
      <xdr:rowOff>0</xdr:rowOff>
    </xdr:from>
    <xdr:to>
      <xdr:col>21</xdr:col>
      <xdr:colOff>0</xdr:colOff>
      <xdr:row>16</xdr:row>
      <xdr:rowOff>0</xdr:rowOff>
    </xdr:to>
    <xdr:sp macro="[0]!moveToWSPosition_6" textlink="">
      <xdr:nvSpPr>
        <xdr:cNvPr id="67" name="Rectangle 66">
          <a:extLst>
            <a:ext uri="{FF2B5EF4-FFF2-40B4-BE49-F238E27FC236}">
              <a16:creationId xmlns:a16="http://schemas.microsoft.com/office/drawing/2014/main" id="{95016534-8CA5-4A73-8835-830EA4745E61}"/>
            </a:ext>
          </a:extLst>
        </xdr:cNvPr>
        <xdr:cNvSpPr/>
      </xdr:nvSpPr>
      <xdr:spPr>
        <a:xfrm>
          <a:off x="4000500" y="266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16</xdr:row>
      <xdr:rowOff>0</xdr:rowOff>
    </xdr:from>
    <xdr:to>
      <xdr:col>21</xdr:col>
      <xdr:colOff>0</xdr:colOff>
      <xdr:row>18</xdr:row>
      <xdr:rowOff>0</xdr:rowOff>
    </xdr:to>
    <xdr:sp macro="[0]!moveToWSPosition_7" textlink="">
      <xdr:nvSpPr>
        <xdr:cNvPr id="68" name="Rectangle 67">
          <a:extLst>
            <a:ext uri="{FF2B5EF4-FFF2-40B4-BE49-F238E27FC236}">
              <a16:creationId xmlns:a16="http://schemas.microsoft.com/office/drawing/2014/main" id="{925865C9-8E68-4F8C-9122-7FA94973A091}"/>
            </a:ext>
          </a:extLst>
        </xdr:cNvPr>
        <xdr:cNvSpPr/>
      </xdr:nvSpPr>
      <xdr:spPr>
        <a:xfrm>
          <a:off x="4000500" y="3048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18</xdr:row>
      <xdr:rowOff>0</xdr:rowOff>
    </xdr:from>
    <xdr:to>
      <xdr:col>21</xdr:col>
      <xdr:colOff>0</xdr:colOff>
      <xdr:row>20</xdr:row>
      <xdr:rowOff>0</xdr:rowOff>
    </xdr:to>
    <xdr:sp macro="[0]!moveToWSPosition_8" textlink="">
      <xdr:nvSpPr>
        <xdr:cNvPr id="69" name="Rectangle 68">
          <a:extLst>
            <a:ext uri="{FF2B5EF4-FFF2-40B4-BE49-F238E27FC236}">
              <a16:creationId xmlns:a16="http://schemas.microsoft.com/office/drawing/2014/main" id="{3B4658B8-97C5-4ACA-B943-6C769B1DDDFE}"/>
            </a:ext>
          </a:extLst>
        </xdr:cNvPr>
        <xdr:cNvSpPr/>
      </xdr:nvSpPr>
      <xdr:spPr>
        <a:xfrm>
          <a:off x="4000500" y="3429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20</xdr:row>
      <xdr:rowOff>0</xdr:rowOff>
    </xdr:from>
    <xdr:to>
      <xdr:col>21</xdr:col>
      <xdr:colOff>0</xdr:colOff>
      <xdr:row>22</xdr:row>
      <xdr:rowOff>0</xdr:rowOff>
    </xdr:to>
    <xdr:sp macro="[0]!moveToWSPosition_9" textlink="">
      <xdr:nvSpPr>
        <xdr:cNvPr id="70" name="Rectangle 69">
          <a:extLst>
            <a:ext uri="{FF2B5EF4-FFF2-40B4-BE49-F238E27FC236}">
              <a16:creationId xmlns:a16="http://schemas.microsoft.com/office/drawing/2014/main" id="{F3912103-8691-466D-BDF5-A6EAE8D63425}"/>
            </a:ext>
          </a:extLst>
        </xdr:cNvPr>
        <xdr:cNvSpPr/>
      </xdr:nvSpPr>
      <xdr:spPr>
        <a:xfrm>
          <a:off x="4000500" y="3810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22</xdr:row>
      <xdr:rowOff>0</xdr:rowOff>
    </xdr:from>
    <xdr:to>
      <xdr:col>21</xdr:col>
      <xdr:colOff>0</xdr:colOff>
      <xdr:row>24</xdr:row>
      <xdr:rowOff>0</xdr:rowOff>
    </xdr:to>
    <xdr:sp macro="[0]!moveToWSPosition_10" textlink="">
      <xdr:nvSpPr>
        <xdr:cNvPr id="71" name="Rectangle 70">
          <a:extLst>
            <a:ext uri="{FF2B5EF4-FFF2-40B4-BE49-F238E27FC236}">
              <a16:creationId xmlns:a16="http://schemas.microsoft.com/office/drawing/2014/main" id="{40C3A68C-9108-4E77-86EE-327F798C9E8D}"/>
            </a:ext>
          </a:extLst>
        </xdr:cNvPr>
        <xdr:cNvSpPr/>
      </xdr:nvSpPr>
      <xdr:spPr>
        <a:xfrm>
          <a:off x="4000500" y="4191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24</xdr:row>
      <xdr:rowOff>0</xdr:rowOff>
    </xdr:from>
    <xdr:to>
      <xdr:col>21</xdr:col>
      <xdr:colOff>0</xdr:colOff>
      <xdr:row>26</xdr:row>
      <xdr:rowOff>0</xdr:rowOff>
    </xdr:to>
    <xdr:sp macro="[0]!moveToWSPosition_11" textlink="">
      <xdr:nvSpPr>
        <xdr:cNvPr id="72" name="Rectangle 71">
          <a:extLst>
            <a:ext uri="{FF2B5EF4-FFF2-40B4-BE49-F238E27FC236}">
              <a16:creationId xmlns:a16="http://schemas.microsoft.com/office/drawing/2014/main" id="{99546420-10FE-4E8A-9094-B4AB2B60663A}"/>
            </a:ext>
          </a:extLst>
        </xdr:cNvPr>
        <xdr:cNvSpPr/>
      </xdr:nvSpPr>
      <xdr:spPr>
        <a:xfrm>
          <a:off x="4000500" y="4572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26</xdr:row>
      <xdr:rowOff>0</xdr:rowOff>
    </xdr:from>
    <xdr:to>
      <xdr:col>21</xdr:col>
      <xdr:colOff>0</xdr:colOff>
      <xdr:row>28</xdr:row>
      <xdr:rowOff>0</xdr:rowOff>
    </xdr:to>
    <xdr:sp macro="[0]!moveToWSPosition_12" textlink="">
      <xdr:nvSpPr>
        <xdr:cNvPr id="73" name="Rectangle 72">
          <a:extLst>
            <a:ext uri="{FF2B5EF4-FFF2-40B4-BE49-F238E27FC236}">
              <a16:creationId xmlns:a16="http://schemas.microsoft.com/office/drawing/2014/main" id="{39F99019-C166-405C-9D14-6E49A25DB8C4}"/>
            </a:ext>
          </a:extLst>
        </xdr:cNvPr>
        <xdr:cNvSpPr/>
      </xdr:nvSpPr>
      <xdr:spPr>
        <a:xfrm>
          <a:off x="4000500" y="4953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28</xdr:row>
      <xdr:rowOff>0</xdr:rowOff>
    </xdr:from>
    <xdr:to>
      <xdr:col>21</xdr:col>
      <xdr:colOff>0</xdr:colOff>
      <xdr:row>30</xdr:row>
      <xdr:rowOff>0</xdr:rowOff>
    </xdr:to>
    <xdr:sp macro="[0]!moveToWSPosition_13" textlink="">
      <xdr:nvSpPr>
        <xdr:cNvPr id="74" name="Rectangle 73">
          <a:extLst>
            <a:ext uri="{FF2B5EF4-FFF2-40B4-BE49-F238E27FC236}">
              <a16:creationId xmlns:a16="http://schemas.microsoft.com/office/drawing/2014/main" id="{EC665A68-7989-4DDC-8200-011C550C1B04}"/>
            </a:ext>
          </a:extLst>
        </xdr:cNvPr>
        <xdr:cNvSpPr/>
      </xdr:nvSpPr>
      <xdr:spPr>
        <a:xfrm>
          <a:off x="4000500" y="5334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30</xdr:row>
      <xdr:rowOff>0</xdr:rowOff>
    </xdr:from>
    <xdr:to>
      <xdr:col>21</xdr:col>
      <xdr:colOff>0</xdr:colOff>
      <xdr:row>32</xdr:row>
      <xdr:rowOff>0</xdr:rowOff>
    </xdr:to>
    <xdr:sp macro="[0]!moveToWSPosition_14" textlink="">
      <xdr:nvSpPr>
        <xdr:cNvPr id="75" name="Rectangle 74">
          <a:extLst>
            <a:ext uri="{FF2B5EF4-FFF2-40B4-BE49-F238E27FC236}">
              <a16:creationId xmlns:a16="http://schemas.microsoft.com/office/drawing/2014/main" id="{391A727C-903F-4881-8C09-04C17DA52306}"/>
            </a:ext>
          </a:extLst>
        </xdr:cNvPr>
        <xdr:cNvSpPr/>
      </xdr:nvSpPr>
      <xdr:spPr>
        <a:xfrm>
          <a:off x="4000500" y="5715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32</xdr:row>
      <xdr:rowOff>0</xdr:rowOff>
    </xdr:from>
    <xdr:to>
      <xdr:col>21</xdr:col>
      <xdr:colOff>0</xdr:colOff>
      <xdr:row>34</xdr:row>
      <xdr:rowOff>0</xdr:rowOff>
    </xdr:to>
    <xdr:sp macro="[0]!moveToWSPosition_15" textlink="">
      <xdr:nvSpPr>
        <xdr:cNvPr id="76" name="Rectangle 75">
          <a:extLst>
            <a:ext uri="{FF2B5EF4-FFF2-40B4-BE49-F238E27FC236}">
              <a16:creationId xmlns:a16="http://schemas.microsoft.com/office/drawing/2014/main" id="{4F1EA48D-37FB-4184-A3B9-00FCF10CDC71}"/>
            </a:ext>
          </a:extLst>
        </xdr:cNvPr>
        <xdr:cNvSpPr/>
      </xdr:nvSpPr>
      <xdr:spPr>
        <a:xfrm>
          <a:off x="4000500" y="6096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19</xdr:col>
      <xdr:colOff>0</xdr:colOff>
      <xdr:row>34</xdr:row>
      <xdr:rowOff>0</xdr:rowOff>
    </xdr:from>
    <xdr:to>
      <xdr:col>21</xdr:col>
      <xdr:colOff>0</xdr:colOff>
      <xdr:row>36</xdr:row>
      <xdr:rowOff>0</xdr:rowOff>
    </xdr:to>
    <xdr:sp macro="[0]!moveToWSPosition_16" textlink="">
      <xdr:nvSpPr>
        <xdr:cNvPr id="77" name="Rectangle 76">
          <a:extLst>
            <a:ext uri="{FF2B5EF4-FFF2-40B4-BE49-F238E27FC236}">
              <a16:creationId xmlns:a16="http://schemas.microsoft.com/office/drawing/2014/main" id="{FB8736E7-06F4-434B-B087-2912D38FB5DC}"/>
            </a:ext>
          </a:extLst>
        </xdr:cNvPr>
        <xdr:cNvSpPr/>
      </xdr:nvSpPr>
      <xdr:spPr>
        <a:xfrm>
          <a:off x="4000500" y="6477000"/>
          <a:ext cx="381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100"/>
            <a:t>Move</a:t>
          </a:r>
        </a:p>
      </xdr:txBody>
    </xdr:sp>
    <xdr:clientData/>
  </xdr:twoCellAnchor>
  <xdr:twoCellAnchor>
    <xdr:from>
      <xdr:col>6</xdr:col>
      <xdr:colOff>0</xdr:colOff>
      <xdr:row>37</xdr:row>
      <xdr:rowOff>0</xdr:rowOff>
    </xdr:from>
    <xdr:to>
      <xdr:col>10</xdr:col>
      <xdr:colOff>0</xdr:colOff>
      <xdr:row>41</xdr:row>
      <xdr:rowOff>0</xdr:rowOff>
    </xdr:to>
    <xdr:sp macro="[0]!undoMove" textlink="">
      <xdr:nvSpPr>
        <xdr:cNvPr id="79" name="Rectangle 78">
          <a:extLst>
            <a:ext uri="{FF2B5EF4-FFF2-40B4-BE49-F238E27FC236}">
              <a16:creationId xmlns:a16="http://schemas.microsoft.com/office/drawing/2014/main" id="{2E514C25-449A-94FD-88B8-CB22239F2D5A}"/>
            </a:ext>
          </a:extLst>
        </xdr:cNvPr>
        <xdr:cNvSpPr/>
      </xdr:nvSpPr>
      <xdr:spPr>
        <a:xfrm>
          <a:off x="1143000" y="7048500"/>
          <a:ext cx="762000" cy="762000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36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↩</a:t>
          </a:r>
          <a:endParaRPr lang="en-US" sz="3600" b="1"/>
        </a:p>
      </xdr:txBody>
    </xdr:sp>
    <xdr:clientData/>
  </xdr:twoCellAnchor>
  <xdr:twoCellAnchor>
    <xdr:from>
      <xdr:col>11</xdr:col>
      <xdr:colOff>0</xdr:colOff>
      <xdr:row>36</xdr:row>
      <xdr:rowOff>179294</xdr:rowOff>
    </xdr:from>
    <xdr:to>
      <xdr:col>15</xdr:col>
      <xdr:colOff>0</xdr:colOff>
      <xdr:row>40</xdr:row>
      <xdr:rowOff>179294</xdr:rowOff>
    </xdr:to>
    <xdr:sp macro="[0]!redoMove" textlink="">
      <xdr:nvSpPr>
        <xdr:cNvPr id="80" name="Rectangle 79">
          <a:extLst>
            <a:ext uri="{FF2B5EF4-FFF2-40B4-BE49-F238E27FC236}">
              <a16:creationId xmlns:a16="http://schemas.microsoft.com/office/drawing/2014/main" id="{53385F53-1C2D-482F-902C-CE989FC18F70}"/>
            </a:ext>
          </a:extLst>
        </xdr:cNvPr>
        <xdr:cNvSpPr/>
      </xdr:nvSpPr>
      <xdr:spPr>
        <a:xfrm>
          <a:off x="2095500" y="7037294"/>
          <a:ext cx="762000" cy="762000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36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↪</a:t>
          </a:r>
          <a:endParaRPr lang="en-US" sz="8800" b="1"/>
        </a:p>
      </xdr:txBody>
    </xdr:sp>
    <xdr:clientData/>
  </xdr:twoCellAnchor>
  <xdr:twoCellAnchor>
    <xdr:from>
      <xdr:col>94</xdr:col>
      <xdr:colOff>0</xdr:colOff>
      <xdr:row>1</xdr:row>
      <xdr:rowOff>0</xdr:rowOff>
    </xdr:from>
    <xdr:to>
      <xdr:col>104</xdr:col>
      <xdr:colOff>0</xdr:colOff>
      <xdr:row>3</xdr:row>
      <xdr:rowOff>0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A9735C23-CFA0-4A6A-90F7-C2B838E026D4}"/>
            </a:ext>
          </a:extLst>
        </xdr:cNvPr>
        <xdr:cNvSpPr/>
      </xdr:nvSpPr>
      <xdr:spPr>
        <a:xfrm>
          <a:off x="17907000" y="190500"/>
          <a:ext cx="1905000" cy="381000"/>
        </a:xfrm>
        <a:prstGeom prst="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800" b="1"/>
            <a:t>Dev View</a:t>
          </a:r>
          <a:endParaRPr lang="en-US" sz="1400" b="1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35</xdr:row>
      <xdr:rowOff>188820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223286BF-7849-4BEC-87D8-563EC3D070B8}"/>
            </a:ext>
          </a:extLst>
        </xdr:cNvPr>
        <xdr:cNvSpPr/>
      </xdr:nvSpPr>
      <xdr:spPr>
        <a:xfrm>
          <a:off x="2095500" y="6096000"/>
          <a:ext cx="762000" cy="760320"/>
        </a:xfrm>
        <a:prstGeom prst="rect">
          <a:avLst/>
        </a:prstGeom>
        <a:gradFill flip="none" rotWithShape="1">
          <a:gsLst>
            <a:gs pos="100000">
              <a:schemeClr val="accent6">
                <a:lumMod val="75000"/>
              </a:schemeClr>
            </a:gs>
            <a:gs pos="50000">
              <a:schemeClr val="accent6">
                <a:lumMod val="75000"/>
                <a:alpha val="0"/>
              </a:schemeClr>
            </a:gs>
          </a:gsLst>
          <a:path path="rect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endParaRPr lang="en-US" sz="18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18</xdr:row>
      <xdr:rowOff>0</xdr:rowOff>
    </xdr:from>
    <xdr:to>
      <xdr:col>28</xdr:col>
      <xdr:colOff>0</xdr:colOff>
      <xdr:row>22</xdr:row>
      <xdr:rowOff>0</xdr:rowOff>
    </xdr:to>
    <xdr:sp macro="[0]!Deal_Cards_13_Packs" textlink="">
      <xdr:nvSpPr>
        <xdr:cNvPr id="2" name="Rectangle 1">
          <a:extLst>
            <a:ext uri="{FF2B5EF4-FFF2-40B4-BE49-F238E27FC236}">
              <a16:creationId xmlns:a16="http://schemas.microsoft.com/office/drawing/2014/main" id="{B179C2EE-6557-BC97-7BD3-58C57C38F9C8}"/>
            </a:ext>
          </a:extLst>
        </xdr:cNvPr>
        <xdr:cNvSpPr/>
      </xdr:nvSpPr>
      <xdr:spPr>
        <a:xfrm>
          <a:off x="14573250" y="3438525"/>
          <a:ext cx="1504950" cy="762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en-US" sz="1200"/>
            <a:t>Shuffle and Deal</a:t>
          </a:r>
        </a:p>
      </xdr:txBody>
    </xdr:sp>
    <xdr:clientData/>
  </xdr:twoCellAnchor>
  <xdr:twoCellAnchor>
    <xdr:from>
      <xdr:col>42</xdr:col>
      <xdr:colOff>0</xdr:colOff>
      <xdr:row>10</xdr:row>
      <xdr:rowOff>0</xdr:rowOff>
    </xdr:from>
    <xdr:to>
      <xdr:col>44</xdr:col>
      <xdr:colOff>0</xdr:colOff>
      <xdr:row>14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5DA8F86-A25A-38F1-95EE-E2FCC466CFC3}"/>
            </a:ext>
          </a:extLst>
        </xdr:cNvPr>
        <xdr:cNvSpPr/>
      </xdr:nvSpPr>
      <xdr:spPr>
        <a:xfrm>
          <a:off x="23974425" y="1924050"/>
          <a:ext cx="1438275" cy="7715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UNDO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37752-DBE2-4409-B90A-C5DD9C35F178}">
  <sheetPr codeName="Sheet3">
    <tabColor theme="8" tint="0.79998168889431442"/>
  </sheetPr>
  <dimension ref="A1:CZ104"/>
  <sheetViews>
    <sheetView tabSelected="1" workbookViewId="0">
      <selection activeCell="V17" sqref="V17"/>
    </sheetView>
  </sheetViews>
  <sheetFormatPr defaultRowHeight="15" x14ac:dyDescent="0.25"/>
  <cols>
    <col min="1" max="104" width="2.85546875" customWidth="1"/>
  </cols>
  <sheetData>
    <row r="1" spans="1:104" ht="15.75" thickBot="1" x14ac:dyDescent="0.3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</row>
    <row r="2" spans="1:104" ht="15" customHeight="1" x14ac:dyDescent="0.25">
      <c r="A2" s="18"/>
      <c r="B2" s="212" t="s">
        <v>151</v>
      </c>
      <c r="C2" s="206"/>
      <c r="D2" s="206"/>
      <c r="E2" s="206"/>
      <c r="F2" s="206"/>
      <c r="G2" s="206"/>
      <c r="H2" s="206"/>
      <c r="I2" s="206"/>
      <c r="J2" s="206"/>
      <c r="K2" s="206"/>
      <c r="L2" s="207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215" t="s">
        <v>543</v>
      </c>
      <c r="AO2" s="215"/>
      <c r="AP2" s="215"/>
      <c r="AQ2" s="215"/>
      <c r="AR2" s="215"/>
      <c r="AS2" s="215"/>
      <c r="AT2" s="215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</row>
    <row r="3" spans="1:104" ht="15.75" thickBot="1" x14ac:dyDescent="0.3">
      <c r="A3" s="18"/>
      <c r="B3" s="208" t="s">
        <v>152</v>
      </c>
      <c r="C3" s="125"/>
      <c r="D3" s="125"/>
      <c r="E3" s="125"/>
      <c r="F3" s="125"/>
      <c r="G3" s="125"/>
      <c r="H3" s="125"/>
      <c r="I3" s="125"/>
      <c r="J3" s="125"/>
      <c r="K3" s="125"/>
      <c r="L3" s="209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215"/>
      <c r="AO3" s="215"/>
      <c r="AP3" s="215"/>
      <c r="AQ3" s="215"/>
      <c r="AR3" s="215"/>
      <c r="AS3" s="215"/>
      <c r="AT3" s="215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</row>
    <row r="4" spans="1:104" ht="15.75" thickBot="1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</row>
    <row r="5" spans="1:104" x14ac:dyDescent="0.25">
      <c r="A5" s="18"/>
      <c r="B5" s="212" t="s">
        <v>156</v>
      </c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206"/>
      <c r="AG5" s="206"/>
      <c r="AH5" s="206"/>
      <c r="AI5" s="206"/>
      <c r="AJ5" s="206"/>
      <c r="AK5" s="206"/>
      <c r="AL5" s="206"/>
      <c r="AM5" s="206"/>
      <c r="AN5" s="206"/>
      <c r="AO5" s="206"/>
      <c r="AP5" s="206"/>
      <c r="AQ5" s="206"/>
      <c r="AR5" s="206"/>
      <c r="AS5" s="206"/>
      <c r="AT5" s="206"/>
      <c r="AU5" s="206"/>
      <c r="AV5" s="206"/>
      <c r="AW5" s="206"/>
      <c r="AX5" s="206"/>
      <c r="AY5" s="206"/>
      <c r="AZ5" s="206"/>
      <c r="BA5" s="206"/>
      <c r="BB5" s="206"/>
      <c r="BC5" s="206"/>
      <c r="BD5" s="206"/>
      <c r="BE5" s="206"/>
      <c r="BF5" s="206"/>
      <c r="BG5" s="206"/>
      <c r="BH5" s="206"/>
      <c r="BI5" s="206"/>
      <c r="BJ5" s="206"/>
      <c r="BK5" s="206"/>
      <c r="BL5" s="206"/>
      <c r="BM5" s="206"/>
      <c r="BN5" s="207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</row>
    <row r="6" spans="1:104" x14ac:dyDescent="0.25">
      <c r="A6" s="18"/>
      <c r="B6" s="210" t="s">
        <v>153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211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</row>
    <row r="7" spans="1:104" x14ac:dyDescent="0.25">
      <c r="A7" s="18"/>
      <c r="B7" s="210" t="s">
        <v>154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211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</row>
    <row r="8" spans="1:104" x14ac:dyDescent="0.25">
      <c r="A8" s="18"/>
      <c r="B8" s="210" t="s">
        <v>163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211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</row>
    <row r="9" spans="1:104" ht="15.75" thickBot="1" x14ac:dyDescent="0.3">
      <c r="A9" s="18"/>
      <c r="B9" s="208" t="s">
        <v>155</v>
      </c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25"/>
      <c r="AU9" s="125"/>
      <c r="AV9" s="125"/>
      <c r="AW9" s="125"/>
      <c r="AX9" s="125"/>
      <c r="AY9" s="125"/>
      <c r="AZ9" s="125"/>
      <c r="BA9" s="125"/>
      <c r="BB9" s="125"/>
      <c r="BC9" s="125"/>
      <c r="BD9" s="125"/>
      <c r="BE9" s="125"/>
      <c r="BF9" s="125"/>
      <c r="BG9" s="125"/>
      <c r="BH9" s="125"/>
      <c r="BI9" s="125"/>
      <c r="BJ9" s="125"/>
      <c r="BK9" s="125"/>
      <c r="BL9" s="125"/>
      <c r="BM9" s="125"/>
      <c r="BN9" s="209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</row>
    <row r="10" spans="1:104" ht="15.75" thickBot="1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</row>
    <row r="11" spans="1:104" x14ac:dyDescent="0.25">
      <c r="A11" s="18"/>
      <c r="B11" s="213" t="s">
        <v>157</v>
      </c>
      <c r="C11" s="206"/>
      <c r="D11" s="206"/>
      <c r="E11" s="206"/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  <c r="AD11" s="206"/>
      <c r="AE11" s="206"/>
      <c r="AF11" s="206"/>
      <c r="AG11" s="206"/>
      <c r="AH11" s="206"/>
      <c r="AI11" s="206"/>
      <c r="AJ11" s="206"/>
      <c r="AK11" s="206"/>
      <c r="AL11" s="206"/>
      <c r="AM11" s="206"/>
      <c r="AN11" s="206"/>
      <c r="AO11" s="206"/>
      <c r="AP11" s="206"/>
      <c r="AQ11" s="206"/>
      <c r="AR11" s="206"/>
      <c r="AS11" s="206"/>
      <c r="AT11" s="206"/>
      <c r="AU11" s="206"/>
      <c r="AV11" s="206"/>
      <c r="AW11" s="207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</row>
    <row r="12" spans="1:104" x14ac:dyDescent="0.25">
      <c r="A12" s="18"/>
      <c r="B12" s="210" t="s">
        <v>158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211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</row>
    <row r="13" spans="1:104" x14ac:dyDescent="0.25">
      <c r="A13" s="18"/>
      <c r="B13" s="210" t="s">
        <v>159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211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</row>
    <row r="14" spans="1:104" x14ac:dyDescent="0.25">
      <c r="A14" s="18"/>
      <c r="B14" s="210" t="s">
        <v>161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211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</row>
    <row r="15" spans="1:104" x14ac:dyDescent="0.25">
      <c r="A15" s="18"/>
      <c r="B15" s="210" t="s">
        <v>160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211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</row>
    <row r="16" spans="1:104" ht="15.75" thickBot="1" x14ac:dyDescent="0.3">
      <c r="A16" s="18"/>
      <c r="B16" s="208" t="s">
        <v>162</v>
      </c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25"/>
      <c r="AO16" s="125"/>
      <c r="AP16" s="125"/>
      <c r="AQ16" s="125"/>
      <c r="AR16" s="125"/>
      <c r="AS16" s="125"/>
      <c r="AT16" s="125"/>
      <c r="AU16" s="125"/>
      <c r="AV16" s="125"/>
      <c r="AW16" s="209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</row>
    <row r="17" spans="1:104" ht="15.75" thickBot="1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</row>
    <row r="18" spans="1:104" x14ac:dyDescent="0.25">
      <c r="A18" s="18"/>
      <c r="B18" s="212" t="s">
        <v>164</v>
      </c>
      <c r="C18" s="206"/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  <c r="AD18" s="206"/>
      <c r="AE18" s="206"/>
      <c r="AF18" s="206"/>
      <c r="AG18" s="206"/>
      <c r="AH18" s="206"/>
      <c r="AI18" s="206"/>
      <c r="AJ18" s="206"/>
      <c r="AK18" s="206"/>
      <c r="AL18" s="206"/>
      <c r="AM18" s="206"/>
      <c r="AN18" s="206"/>
      <c r="AO18" s="206"/>
      <c r="AP18" s="206"/>
      <c r="AQ18" s="206"/>
      <c r="AR18" s="207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</row>
    <row r="19" spans="1:104" x14ac:dyDescent="0.25">
      <c r="A19" s="18"/>
      <c r="B19" s="210" t="s">
        <v>538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211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</row>
    <row r="20" spans="1:104" x14ac:dyDescent="0.25">
      <c r="A20" s="18"/>
      <c r="B20" s="210" t="s">
        <v>165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211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</row>
    <row r="21" spans="1:104" x14ac:dyDescent="0.25">
      <c r="A21" s="18"/>
      <c r="B21" s="210" t="s">
        <v>539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211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</row>
    <row r="22" spans="1:104" ht="15.75" thickBot="1" x14ac:dyDescent="0.3">
      <c r="A22" s="18"/>
      <c r="B22" s="208" t="s">
        <v>166</v>
      </c>
      <c r="C22" s="125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25"/>
      <c r="AO22" s="125"/>
      <c r="AP22" s="125"/>
      <c r="AQ22" s="125"/>
      <c r="AR22" s="209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</row>
    <row r="23" spans="1:104" ht="15.75" thickBot="1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</row>
    <row r="24" spans="1:104" x14ac:dyDescent="0.25">
      <c r="A24" s="18"/>
      <c r="B24" s="212" t="s">
        <v>167</v>
      </c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7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</row>
    <row r="25" spans="1:104" x14ac:dyDescent="0.25">
      <c r="A25" s="18"/>
      <c r="B25" s="210" t="s">
        <v>540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211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</row>
    <row r="26" spans="1:104" x14ac:dyDescent="0.25">
      <c r="A26" s="18"/>
      <c r="B26" s="210" t="s">
        <v>541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211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</row>
    <row r="27" spans="1:104" x14ac:dyDescent="0.25">
      <c r="A27" s="18"/>
      <c r="B27" s="210" t="s">
        <v>168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211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</row>
    <row r="28" spans="1:104" ht="15.75" thickBot="1" x14ac:dyDescent="0.3">
      <c r="A28" s="18"/>
      <c r="B28" s="208" t="s">
        <v>169</v>
      </c>
      <c r="C28" s="125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209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</row>
    <row r="29" spans="1:104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</row>
    <row r="30" spans="1:104" x14ac:dyDescent="0.25">
      <c r="A30" s="18"/>
      <c r="B30" s="214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</row>
    <row r="31" spans="1:104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</row>
    <row r="32" spans="1:104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</row>
    <row r="33" spans="1:104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</row>
    <row r="34" spans="1:104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</row>
    <row r="35" spans="1:104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</row>
    <row r="36" spans="1:104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</row>
    <row r="37" spans="1:104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</row>
    <row r="38" spans="1:104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</row>
    <row r="39" spans="1:104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</row>
    <row r="40" spans="1:104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</row>
    <row r="41" spans="1:104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</row>
    <row r="42" spans="1:104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</row>
    <row r="43" spans="1:104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</row>
    <row r="44" spans="1:104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</row>
    <row r="45" spans="1:104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</row>
    <row r="46" spans="1:104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</row>
    <row r="47" spans="1:104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</row>
    <row r="48" spans="1:104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</row>
    <row r="49" spans="1:104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</row>
    <row r="50" spans="1:104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</row>
    <row r="51" spans="1:104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</row>
    <row r="52" spans="1:104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</row>
    <row r="53" spans="1:104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</row>
    <row r="54" spans="1:104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</row>
    <row r="55" spans="1:104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</row>
    <row r="56" spans="1:104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</row>
    <row r="57" spans="1:104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</row>
    <row r="58" spans="1:104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</row>
    <row r="59" spans="1:104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</row>
    <row r="60" spans="1:104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</row>
    <row r="61" spans="1:104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</row>
    <row r="62" spans="1:104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</row>
    <row r="63" spans="1:104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</row>
    <row r="64" spans="1:104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</row>
    <row r="65" spans="1:104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</row>
    <row r="66" spans="1:104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</row>
    <row r="67" spans="1:104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</row>
    <row r="68" spans="1:104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</row>
    <row r="69" spans="1:104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</row>
    <row r="70" spans="1:104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</row>
    <row r="71" spans="1:104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</row>
    <row r="72" spans="1:104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</row>
    <row r="73" spans="1:104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</row>
    <row r="74" spans="1:104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</row>
    <row r="75" spans="1:104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</row>
    <row r="76" spans="1:104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</row>
    <row r="77" spans="1:104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</row>
    <row r="78" spans="1:104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</row>
    <row r="79" spans="1:104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</row>
    <row r="80" spans="1:104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</row>
    <row r="81" spans="1:104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</row>
    <row r="82" spans="1:104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</row>
    <row r="83" spans="1:104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</row>
    <row r="84" spans="1:104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</row>
    <row r="85" spans="1:104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</row>
    <row r="86" spans="1:104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</row>
    <row r="87" spans="1:104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</row>
    <row r="88" spans="1:104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</row>
    <row r="89" spans="1:104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</row>
    <row r="90" spans="1:104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</row>
    <row r="91" spans="1:104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</row>
    <row r="92" spans="1:104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</row>
    <row r="93" spans="1:104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</row>
    <row r="94" spans="1:104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</row>
    <row r="95" spans="1:104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</row>
    <row r="96" spans="1:104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</row>
    <row r="97" spans="1:104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</row>
    <row r="98" spans="1:104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</row>
    <row r="99" spans="1:104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</row>
    <row r="100" spans="1:104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</row>
    <row r="101" spans="1:104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</row>
    <row r="102" spans="1:104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</row>
    <row r="103" spans="1:104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</row>
    <row r="104" spans="1:104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</row>
  </sheetData>
  <sheetProtection algorithmName="SHA-512" hashValue="Y4npHCi71Vxd8ieYYk4LFi776WvWbCOVUOjzdpUtFSSw2DQ1tXk9zD8rfnBlCaHqde0Y9ZKyQ5zmmQGpbX/33A==" saltValue="D1Ruq9dz30q1U+EVUw3t2w==" spinCount="100000" sheet="1" objects="1" scenarios="1" selectLockedCells="1" selectUnlockedCells="1"/>
  <mergeCells count="1">
    <mergeCell ref="AN2:AT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F7255-E7D0-4687-9FAD-0DC4111EB0C5}">
  <sheetPr codeName="Sheet10">
    <tabColor rgb="FF00B0F0"/>
  </sheetPr>
  <dimension ref="A1:DB105"/>
  <sheetViews>
    <sheetView zoomScale="85" zoomScaleNormal="85" workbookViewId="0">
      <selection activeCell="V41" sqref="V41"/>
    </sheetView>
  </sheetViews>
  <sheetFormatPr defaultRowHeight="15" x14ac:dyDescent="0.25"/>
  <cols>
    <col min="1" max="104" width="2.85546875" customWidth="1"/>
  </cols>
  <sheetData>
    <row r="1" spans="1:106" ht="15" customHeight="1" thickBot="1" x14ac:dyDescent="0.3">
      <c r="A1" s="29"/>
      <c r="B1" s="29"/>
      <c r="C1" s="29"/>
      <c r="D1" s="29"/>
      <c r="E1" s="29"/>
      <c r="F1" s="29"/>
      <c r="G1" s="30"/>
      <c r="H1" s="30"/>
      <c r="I1" s="30"/>
      <c r="J1" s="30"/>
      <c r="K1" s="18"/>
      <c r="L1" s="30"/>
      <c r="M1" s="30"/>
      <c r="N1" s="30"/>
      <c r="O1" s="30"/>
      <c r="P1" s="18"/>
      <c r="Q1" s="18"/>
      <c r="R1" s="18"/>
      <c r="S1" s="18"/>
      <c r="T1" s="18"/>
      <c r="U1" s="18"/>
      <c r="V1" s="18"/>
      <c r="W1" s="18"/>
      <c r="X1" s="18"/>
      <c r="Y1" s="18"/>
      <c r="Z1" s="29"/>
      <c r="AA1" s="18"/>
      <c r="AB1" s="18"/>
      <c r="AC1" s="29"/>
      <c r="AD1" s="30"/>
      <c r="AE1" s="30"/>
      <c r="AF1" s="30"/>
      <c r="AG1" s="30"/>
      <c r="AH1" s="29"/>
      <c r="AI1" s="30"/>
      <c r="AJ1" s="30"/>
      <c r="AK1" s="30"/>
      <c r="AL1" s="30"/>
      <c r="AM1" s="29"/>
      <c r="AN1" s="30"/>
      <c r="AO1" s="30"/>
      <c r="AP1" s="30"/>
      <c r="AQ1" s="30"/>
      <c r="AR1" s="29"/>
      <c r="AS1" s="30"/>
      <c r="AT1" s="30"/>
      <c r="AU1" s="30"/>
      <c r="AV1" s="30"/>
      <c r="AW1" s="29"/>
      <c r="AX1" s="30"/>
      <c r="AY1" s="30"/>
      <c r="AZ1" s="30"/>
      <c r="BA1" s="30"/>
      <c r="BB1" s="29"/>
      <c r="BC1" s="30"/>
      <c r="BD1" s="30"/>
      <c r="BE1" s="30"/>
      <c r="BF1" s="30"/>
      <c r="BG1" s="29"/>
      <c r="BH1" s="30"/>
      <c r="BI1" s="30"/>
      <c r="BJ1" s="30"/>
      <c r="BK1" s="30"/>
      <c r="BL1" s="29"/>
      <c r="BM1" s="30"/>
      <c r="BN1" s="30"/>
      <c r="BO1" s="30"/>
      <c r="BP1" s="30"/>
      <c r="BQ1" s="29"/>
      <c r="BR1" s="30"/>
      <c r="BS1" s="30"/>
      <c r="BT1" s="30"/>
      <c r="BU1" s="30"/>
      <c r="BV1" s="29"/>
      <c r="BW1" s="30"/>
      <c r="BX1" s="30"/>
      <c r="BY1" s="30"/>
      <c r="BZ1" s="30"/>
      <c r="CA1" s="29"/>
      <c r="CB1" s="30"/>
      <c r="CC1" s="30"/>
      <c r="CD1" s="30"/>
      <c r="CE1" s="30"/>
      <c r="CF1" s="29"/>
      <c r="CG1" s="30"/>
      <c r="CH1" s="30"/>
      <c r="CI1" s="30"/>
      <c r="CJ1" s="30"/>
      <c r="CK1" s="29"/>
      <c r="CL1" s="30"/>
      <c r="CM1" s="30"/>
      <c r="CN1" s="30"/>
      <c r="CO1" s="32"/>
      <c r="CP1" s="18"/>
      <c r="CQ1" s="29"/>
      <c r="CR1" s="18"/>
      <c r="CS1" s="18"/>
      <c r="CT1" s="29"/>
      <c r="CU1" s="18"/>
      <c r="CV1" s="18"/>
      <c r="CW1" s="18"/>
      <c r="CX1" s="18"/>
      <c r="CY1" s="18"/>
      <c r="CZ1" s="18"/>
      <c r="DA1" s="18"/>
      <c r="DB1" s="18"/>
    </row>
    <row r="2" spans="1:106" ht="15" customHeight="1" thickBot="1" x14ac:dyDescent="0.3">
      <c r="A2" s="28"/>
      <c r="B2" s="18"/>
      <c r="C2" s="18"/>
      <c r="D2" s="18"/>
      <c r="E2" s="18"/>
      <c r="F2" s="18"/>
      <c r="G2" s="248" t="s">
        <v>1</v>
      </c>
      <c r="H2" s="249"/>
      <c r="I2" s="249"/>
      <c r="J2" s="250"/>
      <c r="K2" s="18"/>
      <c r="L2" s="248" t="s">
        <v>2</v>
      </c>
      <c r="M2" s="249"/>
      <c r="N2" s="249"/>
      <c r="O2" s="250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254" t="s">
        <v>1</v>
      </c>
      <c r="AE2" s="255"/>
      <c r="AF2" s="255"/>
      <c r="AG2" s="256"/>
      <c r="AH2" s="18"/>
      <c r="AI2" s="254">
        <v>2</v>
      </c>
      <c r="AJ2" s="255"/>
      <c r="AK2" s="255"/>
      <c r="AL2" s="256"/>
      <c r="AM2" s="18"/>
      <c r="AN2" s="254">
        <v>3</v>
      </c>
      <c r="AO2" s="255"/>
      <c r="AP2" s="255"/>
      <c r="AQ2" s="256"/>
      <c r="AR2" s="18"/>
      <c r="AS2" s="254">
        <v>4</v>
      </c>
      <c r="AT2" s="255"/>
      <c r="AU2" s="255"/>
      <c r="AV2" s="256"/>
      <c r="AW2" s="18"/>
      <c r="AX2" s="254">
        <v>5</v>
      </c>
      <c r="AY2" s="255"/>
      <c r="AZ2" s="255"/>
      <c r="BA2" s="256"/>
      <c r="BB2" s="18"/>
      <c r="BC2" s="254">
        <v>6</v>
      </c>
      <c r="BD2" s="255"/>
      <c r="BE2" s="255"/>
      <c r="BF2" s="256"/>
      <c r="BG2" s="18"/>
      <c r="BH2" s="254">
        <v>7</v>
      </c>
      <c r="BI2" s="255"/>
      <c r="BJ2" s="255"/>
      <c r="BK2" s="256"/>
      <c r="BL2" s="18"/>
      <c r="BM2" s="254">
        <v>8</v>
      </c>
      <c r="BN2" s="255"/>
      <c r="BO2" s="255"/>
      <c r="BP2" s="256"/>
      <c r="BQ2" s="18"/>
      <c r="BR2" s="254">
        <v>9</v>
      </c>
      <c r="BS2" s="255"/>
      <c r="BT2" s="255"/>
      <c r="BU2" s="256"/>
      <c r="BV2" s="18"/>
      <c r="BW2" s="254">
        <v>10</v>
      </c>
      <c r="BX2" s="255"/>
      <c r="BY2" s="255"/>
      <c r="BZ2" s="256"/>
      <c r="CA2" s="18"/>
      <c r="CB2" s="254" t="s">
        <v>3</v>
      </c>
      <c r="CC2" s="255"/>
      <c r="CD2" s="255"/>
      <c r="CE2" s="256"/>
      <c r="CF2" s="18"/>
      <c r="CG2" s="254" t="s">
        <v>4</v>
      </c>
      <c r="CH2" s="255"/>
      <c r="CI2" s="255"/>
      <c r="CJ2" s="256"/>
      <c r="CK2" s="18"/>
      <c r="CL2" s="254" t="s">
        <v>2</v>
      </c>
      <c r="CM2" s="255"/>
      <c r="CN2" s="255"/>
      <c r="CO2" s="256"/>
      <c r="CP2" s="18"/>
      <c r="CQ2" s="31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</row>
    <row r="3" spans="1:106" ht="15" customHeight="1" thickBot="1" x14ac:dyDescent="0.3">
      <c r="A3" s="28"/>
      <c r="B3" s="18"/>
      <c r="C3" s="18"/>
      <c r="D3" s="18"/>
      <c r="E3" s="18"/>
      <c r="F3" s="18"/>
      <c r="G3" s="251"/>
      <c r="H3" s="252"/>
      <c r="I3" s="252"/>
      <c r="J3" s="253"/>
      <c r="K3" s="18"/>
      <c r="L3" s="251"/>
      <c r="M3" s="252"/>
      <c r="N3" s="252"/>
      <c r="O3" s="253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257"/>
      <c r="AE3" s="258"/>
      <c r="AF3" s="258"/>
      <c r="AG3" s="259"/>
      <c r="AH3" s="18"/>
      <c r="AI3" s="257"/>
      <c r="AJ3" s="258"/>
      <c r="AK3" s="258"/>
      <c r="AL3" s="259"/>
      <c r="AM3" s="18"/>
      <c r="AN3" s="257"/>
      <c r="AO3" s="258"/>
      <c r="AP3" s="258"/>
      <c r="AQ3" s="259"/>
      <c r="AR3" s="18"/>
      <c r="AS3" s="257"/>
      <c r="AT3" s="258"/>
      <c r="AU3" s="258"/>
      <c r="AV3" s="259"/>
      <c r="AW3" s="18"/>
      <c r="AX3" s="257"/>
      <c r="AY3" s="258"/>
      <c r="AZ3" s="258"/>
      <c r="BA3" s="259"/>
      <c r="BB3" s="18"/>
      <c r="BC3" s="257"/>
      <c r="BD3" s="258"/>
      <c r="BE3" s="258"/>
      <c r="BF3" s="259"/>
      <c r="BG3" s="18"/>
      <c r="BH3" s="257"/>
      <c r="BI3" s="258"/>
      <c r="BJ3" s="258"/>
      <c r="BK3" s="259"/>
      <c r="BL3" s="18"/>
      <c r="BM3" s="257"/>
      <c r="BN3" s="258"/>
      <c r="BO3" s="258"/>
      <c r="BP3" s="259"/>
      <c r="BQ3" s="18"/>
      <c r="BR3" s="257"/>
      <c r="BS3" s="258"/>
      <c r="BT3" s="258"/>
      <c r="BU3" s="259"/>
      <c r="BV3" s="18"/>
      <c r="BW3" s="257"/>
      <c r="BX3" s="258"/>
      <c r="BY3" s="258"/>
      <c r="BZ3" s="259"/>
      <c r="CA3" s="18"/>
      <c r="CB3" s="257"/>
      <c r="CC3" s="258"/>
      <c r="CD3" s="258"/>
      <c r="CE3" s="259"/>
      <c r="CF3" s="18"/>
      <c r="CG3" s="257"/>
      <c r="CH3" s="258"/>
      <c r="CI3" s="258"/>
      <c r="CJ3" s="259"/>
      <c r="CK3" s="18"/>
      <c r="CL3" s="257"/>
      <c r="CM3" s="258"/>
      <c r="CN3" s="258"/>
      <c r="CO3" s="259"/>
      <c r="CP3" s="18"/>
      <c r="CQ3" s="31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</row>
    <row r="4" spans="1:106" ht="15" customHeight="1" thickBot="1" x14ac:dyDescent="0.3">
      <c r="A4" s="2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29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</row>
    <row r="5" spans="1:106" ht="15" customHeight="1" thickBot="1" x14ac:dyDescent="0.3">
      <c r="A5" s="28"/>
      <c r="B5" s="18"/>
      <c r="C5" s="18"/>
      <c r="D5" s="242" t="s">
        <v>9</v>
      </c>
      <c r="E5" s="243"/>
      <c r="F5" s="19"/>
      <c r="G5" s="266" t="str">
        <f>'Display Map'!C3</f>
        <v>Ace</v>
      </c>
      <c r="H5" s="267"/>
      <c r="I5" s="267"/>
      <c r="J5" s="268"/>
      <c r="K5" s="18"/>
      <c r="L5" s="266" t="str">
        <f>'Display Map'!D3</f>
        <v>King</v>
      </c>
      <c r="M5" s="267"/>
      <c r="N5" s="267"/>
      <c r="O5" s="268"/>
      <c r="P5" s="18"/>
      <c r="Q5" s="18"/>
      <c r="R5" s="18"/>
      <c r="S5" s="18"/>
      <c r="T5" s="18"/>
      <c r="U5" s="18"/>
      <c r="V5" s="220" t="b">
        <f>Selections!U3</f>
        <v>0</v>
      </c>
      <c r="W5" s="221"/>
      <c r="X5" s="224" t="str">
        <f>'Display Map'!G3</f>
        <v/>
      </c>
      <c r="Y5" s="225"/>
      <c r="Z5" s="225"/>
      <c r="AA5" s="226"/>
      <c r="AB5" s="18"/>
      <c r="AC5" s="18"/>
      <c r="AD5" s="224" t="str">
        <f>'Display Map'!K3</f>
        <v>5 - ♦</v>
      </c>
      <c r="AE5" s="225"/>
      <c r="AF5" s="225"/>
      <c r="AG5" s="226"/>
      <c r="AH5" s="18"/>
      <c r="AI5" s="224" t="str">
        <f>'Display Map'!L3</f>
        <v>10 - ♠</v>
      </c>
      <c r="AJ5" s="225"/>
      <c r="AK5" s="225"/>
      <c r="AL5" s="226"/>
      <c r="AM5" s="18"/>
      <c r="AN5" s="224" t="str">
        <f>'Display Map'!M3</f>
        <v>7 - ♣</v>
      </c>
      <c r="AO5" s="225"/>
      <c r="AP5" s="225"/>
      <c r="AQ5" s="226"/>
      <c r="AR5" s="18"/>
      <c r="AS5" s="224" t="str">
        <f>'Display Map'!N3</f>
        <v>A - ♣</v>
      </c>
      <c r="AT5" s="225"/>
      <c r="AU5" s="225"/>
      <c r="AV5" s="226"/>
      <c r="AW5" s="18"/>
      <c r="AX5" s="224" t="str">
        <f>'Display Map'!O3</f>
        <v>K - ♣</v>
      </c>
      <c r="AY5" s="225"/>
      <c r="AZ5" s="225"/>
      <c r="BA5" s="226"/>
      <c r="BB5" s="18"/>
      <c r="BC5" s="224" t="str">
        <f>'Display Map'!P3</f>
        <v>K - ♦</v>
      </c>
      <c r="BD5" s="225"/>
      <c r="BE5" s="225"/>
      <c r="BF5" s="226"/>
      <c r="BG5" s="18"/>
      <c r="BH5" s="224" t="str">
        <f>'Display Map'!Q3</f>
        <v>10 - ♠</v>
      </c>
      <c r="BI5" s="225"/>
      <c r="BJ5" s="225"/>
      <c r="BK5" s="226"/>
      <c r="BL5" s="18"/>
      <c r="BM5" s="224" t="str">
        <f>'Display Map'!R3</f>
        <v>Q - ♥</v>
      </c>
      <c r="BN5" s="225"/>
      <c r="BO5" s="225"/>
      <c r="BP5" s="226"/>
      <c r="BQ5" s="18"/>
      <c r="BR5" s="224" t="str">
        <f>'Display Map'!S3</f>
        <v>9 - ♦</v>
      </c>
      <c r="BS5" s="225"/>
      <c r="BT5" s="225"/>
      <c r="BU5" s="226"/>
      <c r="BV5" s="18"/>
      <c r="BW5" s="224" t="str">
        <f>'Display Map'!T3</f>
        <v>7 - ♥</v>
      </c>
      <c r="BX5" s="225"/>
      <c r="BY5" s="225"/>
      <c r="BZ5" s="226"/>
      <c r="CA5" s="18"/>
      <c r="CB5" s="224" t="str">
        <f>'Display Map'!U3</f>
        <v>9 - ♠</v>
      </c>
      <c r="CC5" s="225"/>
      <c r="CD5" s="225"/>
      <c r="CE5" s="226"/>
      <c r="CF5" s="18"/>
      <c r="CG5" s="224" t="str">
        <f>'Display Map'!V3</f>
        <v>2 - ♥</v>
      </c>
      <c r="CH5" s="225"/>
      <c r="CI5" s="225"/>
      <c r="CJ5" s="226"/>
      <c r="CK5" s="18"/>
      <c r="CL5" s="224" t="str">
        <f>'Display Map'!W3</f>
        <v>K - ♥</v>
      </c>
      <c r="CM5" s="225"/>
      <c r="CN5" s="225"/>
      <c r="CO5" s="226"/>
      <c r="CP5" s="18"/>
      <c r="CQ5" s="31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</row>
    <row r="6" spans="1:106" ht="15" customHeight="1" thickBot="1" x14ac:dyDescent="0.3">
      <c r="A6" s="28"/>
      <c r="B6" s="18"/>
      <c r="C6" s="18"/>
      <c r="D6" s="244"/>
      <c r="E6" s="245"/>
      <c r="F6" s="18"/>
      <c r="G6" s="269"/>
      <c r="H6" s="270"/>
      <c r="I6" s="270"/>
      <c r="J6" s="271"/>
      <c r="K6" s="18"/>
      <c r="L6" s="269"/>
      <c r="M6" s="270"/>
      <c r="N6" s="270"/>
      <c r="O6" s="271"/>
      <c r="P6" s="18"/>
      <c r="Q6" s="18"/>
      <c r="R6" s="18"/>
      <c r="S6" s="18"/>
      <c r="T6" s="18"/>
      <c r="U6" s="18"/>
      <c r="V6" s="222"/>
      <c r="W6" s="223"/>
      <c r="X6" s="227"/>
      <c r="Y6" s="228"/>
      <c r="Z6" s="228"/>
      <c r="AA6" s="229"/>
      <c r="AB6" s="18"/>
      <c r="AC6" s="18"/>
      <c r="AD6" s="227"/>
      <c r="AE6" s="228"/>
      <c r="AF6" s="228"/>
      <c r="AG6" s="229"/>
      <c r="AH6" s="18"/>
      <c r="AI6" s="227"/>
      <c r="AJ6" s="228"/>
      <c r="AK6" s="228"/>
      <c r="AL6" s="229"/>
      <c r="AM6" s="18"/>
      <c r="AN6" s="227"/>
      <c r="AO6" s="228"/>
      <c r="AP6" s="228"/>
      <c r="AQ6" s="229"/>
      <c r="AR6" s="18"/>
      <c r="AS6" s="227"/>
      <c r="AT6" s="228"/>
      <c r="AU6" s="228"/>
      <c r="AV6" s="229"/>
      <c r="AW6" s="18"/>
      <c r="AX6" s="227"/>
      <c r="AY6" s="228"/>
      <c r="AZ6" s="228"/>
      <c r="BA6" s="229"/>
      <c r="BB6" s="18"/>
      <c r="BC6" s="227"/>
      <c r="BD6" s="228"/>
      <c r="BE6" s="228"/>
      <c r="BF6" s="229"/>
      <c r="BG6" s="18"/>
      <c r="BH6" s="227"/>
      <c r="BI6" s="228"/>
      <c r="BJ6" s="228"/>
      <c r="BK6" s="229"/>
      <c r="BL6" s="18"/>
      <c r="BM6" s="227"/>
      <c r="BN6" s="228"/>
      <c r="BO6" s="228"/>
      <c r="BP6" s="229"/>
      <c r="BQ6" s="18"/>
      <c r="BR6" s="227"/>
      <c r="BS6" s="228"/>
      <c r="BT6" s="228"/>
      <c r="BU6" s="229"/>
      <c r="BV6" s="18"/>
      <c r="BW6" s="227"/>
      <c r="BX6" s="228"/>
      <c r="BY6" s="228"/>
      <c r="BZ6" s="229"/>
      <c r="CA6" s="18"/>
      <c r="CB6" s="227"/>
      <c r="CC6" s="228"/>
      <c r="CD6" s="228"/>
      <c r="CE6" s="229"/>
      <c r="CF6" s="18"/>
      <c r="CG6" s="227"/>
      <c r="CH6" s="228"/>
      <c r="CI6" s="228"/>
      <c r="CJ6" s="229"/>
      <c r="CK6" s="18"/>
      <c r="CL6" s="227"/>
      <c r="CM6" s="228"/>
      <c r="CN6" s="228"/>
      <c r="CO6" s="229"/>
      <c r="CP6" s="18"/>
      <c r="CQ6" s="31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</row>
    <row r="7" spans="1:106" ht="15" customHeight="1" thickBot="1" x14ac:dyDescent="0.3">
      <c r="A7" s="28"/>
      <c r="B7" s="18"/>
      <c r="C7" s="18"/>
      <c r="D7" s="244"/>
      <c r="E7" s="245"/>
      <c r="F7" s="18"/>
      <c r="I7" s="220" t="b">
        <f>Selections!I3</f>
        <v>0</v>
      </c>
      <c r="J7" s="221"/>
      <c r="K7" s="18"/>
      <c r="L7" s="18"/>
      <c r="M7" s="18"/>
      <c r="N7" s="220" t="b">
        <f>Selections!I7</f>
        <v>0</v>
      </c>
      <c r="O7" s="221"/>
      <c r="P7" s="18"/>
      <c r="Q7" s="18"/>
      <c r="R7" s="18"/>
      <c r="S7" s="18"/>
      <c r="T7" s="18"/>
      <c r="U7" s="18"/>
      <c r="V7" s="220" t="b">
        <f>Selections!U4</f>
        <v>0</v>
      </c>
      <c r="W7" s="221"/>
      <c r="X7" s="224" t="str">
        <f>'Display Map'!G4</f>
        <v/>
      </c>
      <c r="Y7" s="225"/>
      <c r="Z7" s="225"/>
      <c r="AA7" s="226"/>
      <c r="AB7" s="18"/>
      <c r="AC7" s="18"/>
      <c r="AD7" s="224" t="str">
        <f>'Display Map'!K4</f>
        <v>5 - ♠</v>
      </c>
      <c r="AE7" s="225"/>
      <c r="AF7" s="225"/>
      <c r="AG7" s="226"/>
      <c r="AH7" s="18"/>
      <c r="AI7" s="224" t="str">
        <f>'Display Map'!L4</f>
        <v>4 - ♣</v>
      </c>
      <c r="AJ7" s="225"/>
      <c r="AK7" s="225"/>
      <c r="AL7" s="226"/>
      <c r="AM7" s="18"/>
      <c r="AN7" s="224" t="str">
        <f>'Display Map'!M4</f>
        <v>5 - ♠</v>
      </c>
      <c r="AO7" s="225"/>
      <c r="AP7" s="225"/>
      <c r="AQ7" s="226"/>
      <c r="AR7" s="18"/>
      <c r="AS7" s="224" t="str">
        <f>'Display Map'!N4</f>
        <v>8 - ♦</v>
      </c>
      <c r="AT7" s="225"/>
      <c r="AU7" s="225"/>
      <c r="AV7" s="226"/>
      <c r="AW7" s="18"/>
      <c r="AX7" s="224" t="str">
        <f>'Display Map'!O4</f>
        <v>J - ♣</v>
      </c>
      <c r="AY7" s="225"/>
      <c r="AZ7" s="225"/>
      <c r="BA7" s="226"/>
      <c r="BB7" s="18"/>
      <c r="BC7" s="224" t="str">
        <f>'Display Map'!P4</f>
        <v>7 - ♦</v>
      </c>
      <c r="BD7" s="225"/>
      <c r="BE7" s="225"/>
      <c r="BF7" s="226"/>
      <c r="BG7" s="18"/>
      <c r="BH7" s="224" t="str">
        <f>'Display Map'!Q4</f>
        <v>A - ♥</v>
      </c>
      <c r="BI7" s="225"/>
      <c r="BJ7" s="225"/>
      <c r="BK7" s="226"/>
      <c r="BL7" s="18"/>
      <c r="BM7" s="224" t="str">
        <f>'Display Map'!R4</f>
        <v>8 - ♠</v>
      </c>
      <c r="BN7" s="225"/>
      <c r="BO7" s="225"/>
      <c r="BP7" s="226"/>
      <c r="BQ7" s="18"/>
      <c r="BR7" s="224" t="str">
        <f>'Display Map'!S4</f>
        <v>A - ♠</v>
      </c>
      <c r="BS7" s="225"/>
      <c r="BT7" s="225"/>
      <c r="BU7" s="226"/>
      <c r="BV7" s="18"/>
      <c r="BW7" s="224" t="str">
        <f>'Display Map'!T4</f>
        <v>3 - ♦</v>
      </c>
      <c r="BX7" s="225"/>
      <c r="BY7" s="225"/>
      <c r="BZ7" s="226"/>
      <c r="CA7" s="18"/>
      <c r="CB7" s="224" t="str">
        <f>'Display Map'!U4</f>
        <v>5 - ♥</v>
      </c>
      <c r="CC7" s="225"/>
      <c r="CD7" s="225"/>
      <c r="CE7" s="226"/>
      <c r="CF7" s="18"/>
      <c r="CG7" s="224" t="str">
        <f>'Display Map'!V4</f>
        <v>10 - ♦</v>
      </c>
      <c r="CH7" s="225"/>
      <c r="CI7" s="225"/>
      <c r="CJ7" s="226"/>
      <c r="CK7" s="18"/>
      <c r="CL7" s="224" t="str">
        <f>'Display Map'!W4</f>
        <v>2 - ♣</v>
      </c>
      <c r="CM7" s="225"/>
      <c r="CN7" s="225"/>
      <c r="CO7" s="226"/>
      <c r="CP7" s="18"/>
      <c r="CQ7" s="31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</row>
    <row r="8" spans="1:106" ht="15" customHeight="1" thickBot="1" x14ac:dyDescent="0.3">
      <c r="A8" s="28"/>
      <c r="B8" s="18"/>
      <c r="C8" s="18"/>
      <c r="D8" s="244"/>
      <c r="E8" s="245"/>
      <c r="F8" s="18"/>
      <c r="I8" s="222"/>
      <c r="J8" s="223"/>
      <c r="K8" s="18"/>
      <c r="L8" s="18"/>
      <c r="M8" s="18"/>
      <c r="N8" s="222"/>
      <c r="O8" s="223"/>
      <c r="P8" s="18"/>
      <c r="Q8" s="18"/>
      <c r="R8" s="18"/>
      <c r="S8" s="18"/>
      <c r="T8" s="18"/>
      <c r="U8" s="18"/>
      <c r="V8" s="222"/>
      <c r="W8" s="223"/>
      <c r="X8" s="227"/>
      <c r="Y8" s="228"/>
      <c r="Z8" s="228"/>
      <c r="AA8" s="229"/>
      <c r="AB8" s="18"/>
      <c r="AC8" s="18"/>
      <c r="AD8" s="227"/>
      <c r="AE8" s="228"/>
      <c r="AF8" s="228"/>
      <c r="AG8" s="229"/>
      <c r="AH8" s="18"/>
      <c r="AI8" s="227"/>
      <c r="AJ8" s="228"/>
      <c r="AK8" s="228"/>
      <c r="AL8" s="229"/>
      <c r="AM8" s="18"/>
      <c r="AN8" s="227"/>
      <c r="AO8" s="228"/>
      <c r="AP8" s="228"/>
      <c r="AQ8" s="229"/>
      <c r="AR8" s="18"/>
      <c r="AS8" s="227"/>
      <c r="AT8" s="228"/>
      <c r="AU8" s="228"/>
      <c r="AV8" s="229"/>
      <c r="AW8" s="18"/>
      <c r="AX8" s="227"/>
      <c r="AY8" s="228"/>
      <c r="AZ8" s="228"/>
      <c r="BA8" s="229"/>
      <c r="BB8" s="18"/>
      <c r="BC8" s="227"/>
      <c r="BD8" s="228"/>
      <c r="BE8" s="228"/>
      <c r="BF8" s="229"/>
      <c r="BG8" s="18"/>
      <c r="BH8" s="227"/>
      <c r="BI8" s="228"/>
      <c r="BJ8" s="228"/>
      <c r="BK8" s="229"/>
      <c r="BL8" s="18"/>
      <c r="BM8" s="227"/>
      <c r="BN8" s="228"/>
      <c r="BO8" s="228"/>
      <c r="BP8" s="229"/>
      <c r="BQ8" s="18"/>
      <c r="BR8" s="227"/>
      <c r="BS8" s="228"/>
      <c r="BT8" s="228"/>
      <c r="BU8" s="229"/>
      <c r="BV8" s="18"/>
      <c r="BW8" s="227"/>
      <c r="BX8" s="228"/>
      <c r="BY8" s="228"/>
      <c r="BZ8" s="229"/>
      <c r="CA8" s="18"/>
      <c r="CB8" s="227"/>
      <c r="CC8" s="228"/>
      <c r="CD8" s="228"/>
      <c r="CE8" s="229"/>
      <c r="CF8" s="18"/>
      <c r="CG8" s="227"/>
      <c r="CH8" s="228"/>
      <c r="CI8" s="228"/>
      <c r="CJ8" s="229"/>
      <c r="CK8" s="18"/>
      <c r="CL8" s="227"/>
      <c r="CM8" s="228"/>
      <c r="CN8" s="228"/>
      <c r="CO8" s="229"/>
      <c r="CP8" s="18"/>
      <c r="CQ8" s="31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</row>
    <row r="9" spans="1:106" ht="15" customHeight="1" thickBot="1" x14ac:dyDescent="0.3">
      <c r="A9" s="28"/>
      <c r="B9" s="18"/>
      <c r="C9" s="18"/>
      <c r="D9" s="244"/>
      <c r="E9" s="245"/>
      <c r="F9" s="18"/>
      <c r="I9" s="220"/>
      <c r="J9" s="221"/>
      <c r="K9" s="18"/>
      <c r="L9" s="124"/>
      <c r="M9" s="124"/>
      <c r="N9" s="220"/>
      <c r="O9" s="221"/>
      <c r="P9" s="18"/>
      <c r="Q9" s="18"/>
      <c r="R9" s="18"/>
      <c r="S9" s="18"/>
      <c r="T9" s="18"/>
      <c r="U9" s="18"/>
      <c r="V9" s="220" t="b">
        <f>Selections!U5</f>
        <v>0</v>
      </c>
      <c r="W9" s="221"/>
      <c r="X9" s="224" t="str">
        <f>'Display Map'!G5</f>
        <v/>
      </c>
      <c r="Y9" s="225"/>
      <c r="Z9" s="225"/>
      <c r="AA9" s="226"/>
      <c r="AB9" s="18"/>
      <c r="AC9" s="18"/>
      <c r="AD9" s="224" t="str">
        <f>'Display Map'!K5</f>
        <v>4 - ♣</v>
      </c>
      <c r="AE9" s="225"/>
      <c r="AF9" s="225"/>
      <c r="AG9" s="226"/>
      <c r="AH9" s="18"/>
      <c r="AI9" s="224" t="str">
        <f>'Display Map'!L5</f>
        <v>6 - ♦</v>
      </c>
      <c r="AJ9" s="225"/>
      <c r="AK9" s="225"/>
      <c r="AL9" s="226"/>
      <c r="AM9" s="18"/>
      <c r="AN9" s="224" t="str">
        <f>'Display Map'!M5</f>
        <v>J - ♥</v>
      </c>
      <c r="AO9" s="225"/>
      <c r="AP9" s="225"/>
      <c r="AQ9" s="226"/>
      <c r="AR9" s="18"/>
      <c r="AS9" s="224" t="str">
        <f>'Display Map'!N5</f>
        <v>7 - ♠</v>
      </c>
      <c r="AT9" s="225"/>
      <c r="AU9" s="225"/>
      <c r="AV9" s="226"/>
      <c r="AW9" s="18"/>
      <c r="AX9" s="224" t="str">
        <f>'Display Map'!O5</f>
        <v>Q - ♣</v>
      </c>
      <c r="AY9" s="225"/>
      <c r="AZ9" s="225"/>
      <c r="BA9" s="226"/>
      <c r="BB9" s="18"/>
      <c r="BC9" s="224" t="str">
        <f>'Display Map'!P5</f>
        <v>8 - ♥</v>
      </c>
      <c r="BD9" s="225"/>
      <c r="BE9" s="225"/>
      <c r="BF9" s="226"/>
      <c r="BG9" s="18"/>
      <c r="BH9" s="224" t="str">
        <f>'Display Map'!Q5</f>
        <v>6 - ♣</v>
      </c>
      <c r="BI9" s="225"/>
      <c r="BJ9" s="225"/>
      <c r="BK9" s="226"/>
      <c r="BL9" s="18"/>
      <c r="BM9" s="224" t="str">
        <f>'Display Map'!R5</f>
        <v>Q - ♦</v>
      </c>
      <c r="BN9" s="225"/>
      <c r="BO9" s="225"/>
      <c r="BP9" s="226"/>
      <c r="BQ9" s="18"/>
      <c r="BR9" s="224" t="str">
        <f>'Display Map'!S5</f>
        <v>9 - ♥</v>
      </c>
      <c r="BS9" s="225"/>
      <c r="BT9" s="225"/>
      <c r="BU9" s="226"/>
      <c r="BV9" s="18"/>
      <c r="BW9" s="224" t="str">
        <f>'Display Map'!T5</f>
        <v>3 - ♥</v>
      </c>
      <c r="BX9" s="225"/>
      <c r="BY9" s="225"/>
      <c r="BZ9" s="226"/>
      <c r="CA9" s="18"/>
      <c r="CB9" s="224" t="str">
        <f>'Display Map'!U5</f>
        <v>A - ♠</v>
      </c>
      <c r="CC9" s="225"/>
      <c r="CD9" s="225"/>
      <c r="CE9" s="226"/>
      <c r="CF9" s="18"/>
      <c r="CG9" s="224" t="str">
        <f>'Display Map'!V5</f>
        <v>J - ♥</v>
      </c>
      <c r="CH9" s="225"/>
      <c r="CI9" s="225"/>
      <c r="CJ9" s="226"/>
      <c r="CK9" s="18"/>
      <c r="CL9" s="224" t="str">
        <f>'Display Map'!W5</f>
        <v>Q - ♠</v>
      </c>
      <c r="CM9" s="225"/>
      <c r="CN9" s="225"/>
      <c r="CO9" s="226"/>
      <c r="CP9" s="18" t="s">
        <v>115</v>
      </c>
      <c r="CQ9" s="31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</row>
    <row r="10" spans="1:106" ht="15" customHeight="1" thickBot="1" x14ac:dyDescent="0.3">
      <c r="A10" s="28"/>
      <c r="B10" s="18"/>
      <c r="C10" s="18"/>
      <c r="D10" s="246"/>
      <c r="E10" s="247"/>
      <c r="F10" s="18"/>
      <c r="I10" s="222"/>
      <c r="J10" s="223"/>
      <c r="K10" s="18"/>
      <c r="L10" s="124"/>
      <c r="M10" s="124"/>
      <c r="N10" s="222"/>
      <c r="O10" s="223"/>
      <c r="P10" s="18"/>
      <c r="Q10" s="18"/>
      <c r="R10" s="18"/>
      <c r="S10" s="18"/>
      <c r="T10" s="18"/>
      <c r="U10" s="18"/>
      <c r="V10" s="222"/>
      <c r="W10" s="223"/>
      <c r="X10" s="227"/>
      <c r="Y10" s="228"/>
      <c r="Z10" s="228"/>
      <c r="AA10" s="229"/>
      <c r="AB10" s="18"/>
      <c r="AC10" s="18"/>
      <c r="AD10" s="227"/>
      <c r="AE10" s="228"/>
      <c r="AF10" s="228"/>
      <c r="AG10" s="229"/>
      <c r="AH10" s="18"/>
      <c r="AI10" s="227"/>
      <c r="AJ10" s="228"/>
      <c r="AK10" s="228"/>
      <c r="AL10" s="229"/>
      <c r="AM10" s="18"/>
      <c r="AN10" s="227"/>
      <c r="AO10" s="228"/>
      <c r="AP10" s="228"/>
      <c r="AQ10" s="229"/>
      <c r="AR10" s="18"/>
      <c r="AS10" s="227"/>
      <c r="AT10" s="228"/>
      <c r="AU10" s="228"/>
      <c r="AV10" s="229"/>
      <c r="AW10" s="18"/>
      <c r="AX10" s="227"/>
      <c r="AY10" s="228"/>
      <c r="AZ10" s="228"/>
      <c r="BA10" s="229"/>
      <c r="BB10" s="18"/>
      <c r="BC10" s="227"/>
      <c r="BD10" s="228"/>
      <c r="BE10" s="228"/>
      <c r="BF10" s="229"/>
      <c r="BG10" s="18"/>
      <c r="BH10" s="227"/>
      <c r="BI10" s="228"/>
      <c r="BJ10" s="228"/>
      <c r="BK10" s="229"/>
      <c r="BL10" s="18"/>
      <c r="BM10" s="227"/>
      <c r="BN10" s="228"/>
      <c r="BO10" s="228"/>
      <c r="BP10" s="229"/>
      <c r="BQ10" s="18"/>
      <c r="BR10" s="227"/>
      <c r="BS10" s="228"/>
      <c r="BT10" s="228"/>
      <c r="BU10" s="229"/>
      <c r="BV10" s="18"/>
      <c r="BW10" s="227"/>
      <c r="BX10" s="228"/>
      <c r="BY10" s="228"/>
      <c r="BZ10" s="229"/>
      <c r="CA10" s="18"/>
      <c r="CB10" s="227"/>
      <c r="CC10" s="228"/>
      <c r="CD10" s="228"/>
      <c r="CE10" s="229"/>
      <c r="CF10" s="18"/>
      <c r="CG10" s="227"/>
      <c r="CH10" s="228"/>
      <c r="CI10" s="228"/>
      <c r="CJ10" s="229"/>
      <c r="CK10" s="18"/>
      <c r="CL10" s="227"/>
      <c r="CM10" s="228"/>
      <c r="CN10" s="228"/>
      <c r="CO10" s="229"/>
      <c r="CP10" s="18"/>
      <c r="CQ10" s="31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</row>
    <row r="11" spans="1:106" ht="15" customHeight="1" thickBot="1" x14ac:dyDescent="0.3">
      <c r="A11" s="2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25"/>
      <c r="M11" s="125"/>
      <c r="N11" s="18"/>
      <c r="O11" s="18"/>
      <c r="P11" s="18"/>
      <c r="Q11" s="18"/>
      <c r="R11" s="18"/>
      <c r="S11" s="18"/>
      <c r="T11" s="18"/>
      <c r="U11" s="18"/>
      <c r="V11" s="220" t="b">
        <f>Selections!U6</f>
        <v>0</v>
      </c>
      <c r="W11" s="221"/>
      <c r="X11" s="224" t="str">
        <f>'Display Map'!G6</f>
        <v/>
      </c>
      <c r="Y11" s="225"/>
      <c r="Z11" s="225"/>
      <c r="AA11" s="226"/>
      <c r="AB11" s="18"/>
      <c r="AC11" s="18"/>
      <c r="AD11" s="224" t="str">
        <f>'Display Map'!K6</f>
        <v>J - ♠</v>
      </c>
      <c r="AE11" s="225"/>
      <c r="AF11" s="225"/>
      <c r="AG11" s="226"/>
      <c r="AH11" s="18"/>
      <c r="AI11" s="224" t="str">
        <f>'Display Map'!L6</f>
        <v>9 - ♦</v>
      </c>
      <c r="AJ11" s="225"/>
      <c r="AK11" s="225"/>
      <c r="AL11" s="226"/>
      <c r="AM11" s="18"/>
      <c r="AN11" s="224" t="str">
        <f>'Display Map'!M6</f>
        <v>A - ♦</v>
      </c>
      <c r="AO11" s="225"/>
      <c r="AP11" s="225"/>
      <c r="AQ11" s="226"/>
      <c r="AR11" s="18"/>
      <c r="AS11" s="224" t="str">
        <f>'Display Map'!N6</f>
        <v>3 - ♣</v>
      </c>
      <c r="AT11" s="225"/>
      <c r="AU11" s="225"/>
      <c r="AV11" s="226"/>
      <c r="AW11" s="18"/>
      <c r="AX11" s="224" t="str">
        <f>'Display Map'!O6</f>
        <v>Q - ♥</v>
      </c>
      <c r="AY11" s="225"/>
      <c r="AZ11" s="225"/>
      <c r="BA11" s="226"/>
      <c r="BB11" s="18"/>
      <c r="BC11" s="224" t="str">
        <f>'Display Map'!P6</f>
        <v>3 - ♣</v>
      </c>
      <c r="BD11" s="225"/>
      <c r="BE11" s="225"/>
      <c r="BF11" s="226"/>
      <c r="BG11" s="18"/>
      <c r="BH11" s="224" t="str">
        <f>'Display Map'!Q6</f>
        <v>9 - ♣</v>
      </c>
      <c r="BI11" s="225"/>
      <c r="BJ11" s="225"/>
      <c r="BK11" s="226"/>
      <c r="BL11" s="18"/>
      <c r="BM11" s="224" t="str">
        <f>'Display Map'!R6</f>
        <v>J - ♦</v>
      </c>
      <c r="BN11" s="225"/>
      <c r="BO11" s="225"/>
      <c r="BP11" s="226"/>
      <c r="BQ11" s="18"/>
      <c r="BR11" s="224" t="str">
        <f>'Display Map'!S6</f>
        <v>2 - ♣</v>
      </c>
      <c r="BS11" s="225"/>
      <c r="BT11" s="225"/>
      <c r="BU11" s="226"/>
      <c r="BV11" s="18"/>
      <c r="BW11" s="224" t="str">
        <f>'Display Map'!T6</f>
        <v>K - ♠</v>
      </c>
      <c r="BX11" s="225"/>
      <c r="BY11" s="225"/>
      <c r="BZ11" s="226"/>
      <c r="CA11" s="18"/>
      <c r="CB11" s="224" t="str">
        <f>'Display Map'!U6</f>
        <v>6 - ♣</v>
      </c>
      <c r="CC11" s="225"/>
      <c r="CD11" s="225"/>
      <c r="CE11" s="226"/>
      <c r="CF11" s="18"/>
      <c r="CG11" s="224" t="str">
        <f>'Display Map'!V6</f>
        <v>9 - ♥</v>
      </c>
      <c r="CH11" s="225"/>
      <c r="CI11" s="225"/>
      <c r="CJ11" s="226"/>
      <c r="CK11" s="18"/>
      <c r="CL11" s="224" t="str">
        <f>'Display Map'!W6</f>
        <v>5 - ♣</v>
      </c>
      <c r="CM11" s="225"/>
      <c r="CN11" s="225"/>
      <c r="CO11" s="226"/>
      <c r="CP11" s="18"/>
      <c r="CQ11" s="29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</row>
    <row r="12" spans="1:106" ht="15" customHeight="1" thickBot="1" x14ac:dyDescent="0.3">
      <c r="A12" s="18"/>
      <c r="B12" s="18"/>
      <c r="C12" s="18"/>
      <c r="D12" s="230" t="s">
        <v>11</v>
      </c>
      <c r="E12" s="231"/>
      <c r="F12" s="18"/>
      <c r="G12" s="236" t="str">
        <f>'Display Map'!C4</f>
        <v>Ace</v>
      </c>
      <c r="H12" s="237"/>
      <c r="I12" s="237"/>
      <c r="J12" s="238"/>
      <c r="K12" s="18"/>
      <c r="L12" s="236" t="str">
        <f>'Display Map'!D4</f>
        <v>King</v>
      </c>
      <c r="M12" s="237"/>
      <c r="N12" s="237"/>
      <c r="O12" s="238"/>
      <c r="P12" s="18"/>
      <c r="Q12" s="18"/>
      <c r="R12" s="18"/>
      <c r="S12" s="18"/>
      <c r="T12" s="18"/>
      <c r="U12" s="18"/>
      <c r="V12" s="222"/>
      <c r="W12" s="223"/>
      <c r="X12" s="227"/>
      <c r="Y12" s="228"/>
      <c r="Z12" s="228"/>
      <c r="AA12" s="229"/>
      <c r="AB12" s="18"/>
      <c r="AC12" s="18"/>
      <c r="AD12" s="227"/>
      <c r="AE12" s="228"/>
      <c r="AF12" s="228"/>
      <c r="AG12" s="229"/>
      <c r="AH12" s="18"/>
      <c r="AI12" s="227"/>
      <c r="AJ12" s="228"/>
      <c r="AK12" s="228"/>
      <c r="AL12" s="229"/>
      <c r="AM12" s="18"/>
      <c r="AN12" s="227"/>
      <c r="AO12" s="228"/>
      <c r="AP12" s="228"/>
      <c r="AQ12" s="229"/>
      <c r="AR12" s="18"/>
      <c r="AS12" s="227"/>
      <c r="AT12" s="228"/>
      <c r="AU12" s="228"/>
      <c r="AV12" s="229"/>
      <c r="AW12" s="18"/>
      <c r="AX12" s="227"/>
      <c r="AY12" s="228"/>
      <c r="AZ12" s="228"/>
      <c r="BA12" s="229"/>
      <c r="BB12" s="18"/>
      <c r="BC12" s="227"/>
      <c r="BD12" s="228"/>
      <c r="BE12" s="228"/>
      <c r="BF12" s="229"/>
      <c r="BG12" s="18"/>
      <c r="BH12" s="227"/>
      <c r="BI12" s="228"/>
      <c r="BJ12" s="228"/>
      <c r="BK12" s="229"/>
      <c r="BL12" s="18"/>
      <c r="BM12" s="227"/>
      <c r="BN12" s="228"/>
      <c r="BO12" s="228"/>
      <c r="BP12" s="229"/>
      <c r="BQ12" s="18"/>
      <c r="BR12" s="227"/>
      <c r="BS12" s="228"/>
      <c r="BT12" s="228"/>
      <c r="BU12" s="229"/>
      <c r="BV12" s="18"/>
      <c r="BW12" s="227"/>
      <c r="BX12" s="228"/>
      <c r="BY12" s="228"/>
      <c r="BZ12" s="229"/>
      <c r="CA12" s="18"/>
      <c r="CB12" s="227"/>
      <c r="CC12" s="228"/>
      <c r="CD12" s="228"/>
      <c r="CE12" s="229"/>
      <c r="CF12" s="18"/>
      <c r="CG12" s="227"/>
      <c r="CH12" s="228"/>
      <c r="CI12" s="228"/>
      <c r="CJ12" s="229"/>
      <c r="CK12" s="18"/>
      <c r="CL12" s="227"/>
      <c r="CM12" s="228"/>
      <c r="CN12" s="228"/>
      <c r="CO12" s="229"/>
      <c r="CP12" s="18"/>
      <c r="CQ12" s="29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</row>
    <row r="13" spans="1:106" ht="15" customHeight="1" thickBot="1" x14ac:dyDescent="0.3">
      <c r="A13" s="18"/>
      <c r="B13" s="18"/>
      <c r="C13" s="18"/>
      <c r="D13" s="232"/>
      <c r="E13" s="233"/>
      <c r="F13" s="18"/>
      <c r="G13" s="239"/>
      <c r="H13" s="240"/>
      <c r="I13" s="240"/>
      <c r="J13" s="241"/>
      <c r="K13" s="18"/>
      <c r="L13" s="239"/>
      <c r="M13" s="240"/>
      <c r="N13" s="240"/>
      <c r="O13" s="241"/>
      <c r="P13" s="18"/>
      <c r="Q13" s="18"/>
      <c r="R13" s="18"/>
      <c r="S13" s="18"/>
      <c r="T13" s="18"/>
      <c r="U13" s="18"/>
      <c r="V13" s="220" t="b">
        <f>Selections!U7</f>
        <v>0</v>
      </c>
      <c r="W13" s="221"/>
      <c r="X13" s="224" t="str">
        <f>'Display Map'!G7</f>
        <v/>
      </c>
      <c r="Y13" s="225"/>
      <c r="Z13" s="225"/>
      <c r="AA13" s="226"/>
      <c r="AB13" s="18"/>
      <c r="AC13" s="18"/>
      <c r="AD13" s="224" t="str">
        <f>'Display Map'!K7</f>
        <v>10 - ♥</v>
      </c>
      <c r="AE13" s="225"/>
      <c r="AF13" s="225"/>
      <c r="AG13" s="226"/>
      <c r="AH13" s="18"/>
      <c r="AI13" s="224" t="str">
        <f>'Display Map'!L7</f>
        <v>A - ♦</v>
      </c>
      <c r="AJ13" s="225"/>
      <c r="AK13" s="225"/>
      <c r="AL13" s="226"/>
      <c r="AM13" s="18"/>
      <c r="AN13" s="224" t="str">
        <f>'Display Map'!M7</f>
        <v>K - ♥</v>
      </c>
      <c r="AO13" s="225"/>
      <c r="AP13" s="225"/>
      <c r="AQ13" s="226"/>
      <c r="AR13" s="18"/>
      <c r="AS13" s="224" t="str">
        <f>'Display Map'!N7</f>
        <v>7 - ♦</v>
      </c>
      <c r="AT13" s="225"/>
      <c r="AU13" s="225"/>
      <c r="AV13" s="226"/>
      <c r="AW13" s="18"/>
      <c r="AX13" s="224" t="str">
        <f>'Display Map'!O7</f>
        <v>6 - ♠</v>
      </c>
      <c r="AY13" s="225"/>
      <c r="AZ13" s="225"/>
      <c r="BA13" s="226"/>
      <c r="BB13" s="18"/>
      <c r="BC13" s="224" t="str">
        <f>'Display Map'!P7</f>
        <v>2 - ♠</v>
      </c>
      <c r="BD13" s="225"/>
      <c r="BE13" s="225"/>
      <c r="BF13" s="226"/>
      <c r="BG13" s="18"/>
      <c r="BH13" s="224" t="str">
        <f>'Display Map'!Q7</f>
        <v>10 - ♥</v>
      </c>
      <c r="BI13" s="225"/>
      <c r="BJ13" s="225"/>
      <c r="BK13" s="226"/>
      <c r="BL13" s="18"/>
      <c r="BM13" s="224" t="str">
        <f>'Display Map'!R7</f>
        <v>4 - ♥</v>
      </c>
      <c r="BN13" s="225"/>
      <c r="BO13" s="225"/>
      <c r="BP13" s="226"/>
      <c r="BQ13" s="18"/>
      <c r="BR13" s="224" t="str">
        <f>'Display Map'!S7</f>
        <v>5 - ♥</v>
      </c>
      <c r="BS13" s="225"/>
      <c r="BT13" s="225"/>
      <c r="BU13" s="226"/>
      <c r="BV13" s="18"/>
      <c r="BW13" s="224" t="str">
        <f>'Display Map'!T7</f>
        <v>J - ♠</v>
      </c>
      <c r="BX13" s="225"/>
      <c r="BY13" s="225"/>
      <c r="BZ13" s="226"/>
      <c r="CA13" s="18"/>
      <c r="CB13" s="224" t="str">
        <f>'Display Map'!U7</f>
        <v>K - ♦</v>
      </c>
      <c r="CC13" s="225"/>
      <c r="CD13" s="225"/>
      <c r="CE13" s="226"/>
      <c r="CF13" s="18"/>
      <c r="CG13" s="224" t="str">
        <f>'Display Map'!V7</f>
        <v>8 - ♠</v>
      </c>
      <c r="CH13" s="225"/>
      <c r="CI13" s="225"/>
      <c r="CJ13" s="226"/>
      <c r="CK13" s="18"/>
      <c r="CL13" s="224" t="str">
        <f>'Display Map'!W7</f>
        <v>6 - ♥</v>
      </c>
      <c r="CM13" s="225"/>
      <c r="CN13" s="225"/>
      <c r="CO13" s="226"/>
      <c r="CP13" s="18"/>
      <c r="CQ13" s="29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</row>
    <row r="14" spans="1:106" ht="15" customHeight="1" thickBot="1" x14ac:dyDescent="0.3">
      <c r="A14" s="18"/>
      <c r="B14" s="18"/>
      <c r="C14" s="18"/>
      <c r="D14" s="232"/>
      <c r="E14" s="233"/>
      <c r="F14" s="18"/>
      <c r="G14" s="18"/>
      <c r="H14" s="18"/>
      <c r="I14" s="220" t="b">
        <f>Selections!I4</f>
        <v>0</v>
      </c>
      <c r="J14" s="221"/>
      <c r="K14" s="18"/>
      <c r="L14" s="18"/>
      <c r="M14" s="18"/>
      <c r="N14" s="220" t="b">
        <f>Selections!I8</f>
        <v>0</v>
      </c>
      <c r="O14" s="221"/>
      <c r="P14" s="18"/>
      <c r="Q14" s="18"/>
      <c r="R14" s="18"/>
      <c r="S14" s="18"/>
      <c r="T14" s="18"/>
      <c r="U14" s="18"/>
      <c r="V14" s="222"/>
      <c r="W14" s="223"/>
      <c r="X14" s="227"/>
      <c r="Y14" s="228"/>
      <c r="Z14" s="228"/>
      <c r="AA14" s="229"/>
      <c r="AB14" s="18"/>
      <c r="AC14" s="18"/>
      <c r="AD14" s="227"/>
      <c r="AE14" s="228"/>
      <c r="AF14" s="228"/>
      <c r="AG14" s="229"/>
      <c r="AH14" s="18"/>
      <c r="AI14" s="227"/>
      <c r="AJ14" s="228"/>
      <c r="AK14" s="228"/>
      <c r="AL14" s="229"/>
      <c r="AM14" s="18"/>
      <c r="AN14" s="227"/>
      <c r="AO14" s="228"/>
      <c r="AP14" s="228"/>
      <c r="AQ14" s="229"/>
      <c r="AR14" s="18"/>
      <c r="AS14" s="227"/>
      <c r="AT14" s="228"/>
      <c r="AU14" s="228"/>
      <c r="AV14" s="229"/>
      <c r="AW14" s="18"/>
      <c r="AX14" s="227"/>
      <c r="AY14" s="228"/>
      <c r="AZ14" s="228"/>
      <c r="BA14" s="229"/>
      <c r="BB14" s="18"/>
      <c r="BC14" s="227"/>
      <c r="BD14" s="228"/>
      <c r="BE14" s="228"/>
      <c r="BF14" s="229"/>
      <c r="BG14" s="18"/>
      <c r="BH14" s="227"/>
      <c r="BI14" s="228"/>
      <c r="BJ14" s="228"/>
      <c r="BK14" s="229"/>
      <c r="BL14" s="18"/>
      <c r="BM14" s="227"/>
      <c r="BN14" s="228"/>
      <c r="BO14" s="228"/>
      <c r="BP14" s="229"/>
      <c r="BQ14" s="18"/>
      <c r="BR14" s="227"/>
      <c r="BS14" s="228"/>
      <c r="BT14" s="228"/>
      <c r="BU14" s="229"/>
      <c r="BV14" s="18"/>
      <c r="BW14" s="227"/>
      <c r="BX14" s="228"/>
      <c r="BY14" s="228"/>
      <c r="BZ14" s="229"/>
      <c r="CA14" s="18"/>
      <c r="CB14" s="227"/>
      <c r="CC14" s="228"/>
      <c r="CD14" s="228"/>
      <c r="CE14" s="229"/>
      <c r="CF14" s="18"/>
      <c r="CG14" s="227"/>
      <c r="CH14" s="228"/>
      <c r="CI14" s="228"/>
      <c r="CJ14" s="229"/>
      <c r="CK14" s="18"/>
      <c r="CL14" s="227"/>
      <c r="CM14" s="228"/>
      <c r="CN14" s="228"/>
      <c r="CO14" s="229"/>
      <c r="CP14" s="18"/>
      <c r="CQ14" s="29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</row>
    <row r="15" spans="1:106" ht="15" customHeight="1" thickBot="1" x14ac:dyDescent="0.3">
      <c r="A15" s="18"/>
      <c r="B15" s="18"/>
      <c r="C15" s="18"/>
      <c r="D15" s="232"/>
      <c r="E15" s="233"/>
      <c r="F15" s="18"/>
      <c r="G15" s="18"/>
      <c r="H15" s="18"/>
      <c r="I15" s="222"/>
      <c r="J15" s="223"/>
      <c r="K15" s="18"/>
      <c r="L15" s="18"/>
      <c r="M15" s="18"/>
      <c r="N15" s="222"/>
      <c r="O15" s="223"/>
      <c r="P15" s="18"/>
      <c r="Q15" s="18"/>
      <c r="R15" s="18"/>
      <c r="S15" s="18"/>
      <c r="T15" s="18"/>
      <c r="U15" s="18"/>
      <c r="V15" s="220" t="b">
        <f>Selections!U8</f>
        <v>0</v>
      </c>
      <c r="W15" s="221"/>
      <c r="X15" s="224" t="str">
        <f>'Display Map'!G8</f>
        <v/>
      </c>
      <c r="Y15" s="225"/>
      <c r="Z15" s="225"/>
      <c r="AA15" s="226"/>
      <c r="AB15" s="18"/>
      <c r="AC15" s="18"/>
      <c r="AD15" s="224" t="str">
        <f>'Display Map'!K8</f>
        <v>8 - ♣</v>
      </c>
      <c r="AE15" s="225"/>
      <c r="AF15" s="225"/>
      <c r="AG15" s="226"/>
      <c r="AH15" s="18"/>
      <c r="AI15" s="224" t="str">
        <f>'Display Map'!L8</f>
        <v>8 - ♦</v>
      </c>
      <c r="AJ15" s="225"/>
      <c r="AK15" s="225"/>
      <c r="AL15" s="226"/>
      <c r="AM15" s="18"/>
      <c r="AN15" s="224" t="str">
        <f>'Display Map'!M8</f>
        <v>3 - ♠</v>
      </c>
      <c r="AO15" s="225"/>
      <c r="AP15" s="225"/>
      <c r="AQ15" s="226"/>
      <c r="AR15" s="18"/>
      <c r="AS15" s="224" t="str">
        <f>'Display Map'!N8</f>
        <v>9 - ♠</v>
      </c>
      <c r="AT15" s="225"/>
      <c r="AU15" s="225"/>
      <c r="AV15" s="226"/>
      <c r="AW15" s="18"/>
      <c r="AX15" s="224" t="str">
        <f>'Display Map'!O8</f>
        <v>A - ♥</v>
      </c>
      <c r="AY15" s="225"/>
      <c r="AZ15" s="225"/>
      <c r="BA15" s="226"/>
      <c r="BB15" s="18"/>
      <c r="BC15" s="224" t="str">
        <f>'Display Map'!P8</f>
        <v>K - ♣</v>
      </c>
      <c r="BD15" s="225"/>
      <c r="BE15" s="225"/>
      <c r="BF15" s="226"/>
      <c r="BG15" s="18"/>
      <c r="BH15" s="224" t="str">
        <f>'Display Map'!Q8</f>
        <v>2 - ♦</v>
      </c>
      <c r="BI15" s="225"/>
      <c r="BJ15" s="225"/>
      <c r="BK15" s="226"/>
      <c r="BL15" s="18"/>
      <c r="BM15" s="224" t="str">
        <f>'Display Map'!R8</f>
        <v>6 - ♠</v>
      </c>
      <c r="BN15" s="225"/>
      <c r="BO15" s="225"/>
      <c r="BP15" s="226"/>
      <c r="BQ15" s="18"/>
      <c r="BR15" s="224" t="str">
        <f>'Display Map'!S8</f>
        <v>4 - ♦</v>
      </c>
      <c r="BS15" s="225"/>
      <c r="BT15" s="225"/>
      <c r="BU15" s="226"/>
      <c r="BV15" s="18"/>
      <c r="BW15" s="224" t="str">
        <f>'Display Map'!T8</f>
        <v>8 - ♣</v>
      </c>
      <c r="BX15" s="225"/>
      <c r="BY15" s="225"/>
      <c r="BZ15" s="226"/>
      <c r="CA15" s="18"/>
      <c r="CB15" s="224" t="str">
        <f>'Display Map'!U8</f>
        <v>Q - ♣</v>
      </c>
      <c r="CC15" s="225"/>
      <c r="CD15" s="225"/>
      <c r="CE15" s="226"/>
      <c r="CF15" s="18"/>
      <c r="CG15" s="224" t="str">
        <f>'Display Map'!V8</f>
        <v>4 - ♠</v>
      </c>
      <c r="CH15" s="225"/>
      <c r="CI15" s="225"/>
      <c r="CJ15" s="226"/>
      <c r="CK15" s="18"/>
      <c r="CL15" s="224" t="str">
        <f>'Display Map'!W8</f>
        <v>5 - ♦</v>
      </c>
      <c r="CM15" s="225"/>
      <c r="CN15" s="225"/>
      <c r="CO15" s="226"/>
      <c r="CP15" s="18"/>
      <c r="CQ15" s="29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</row>
    <row r="16" spans="1:106" ht="15" customHeight="1" thickBot="1" x14ac:dyDescent="0.3">
      <c r="A16" s="18"/>
      <c r="B16" s="18"/>
      <c r="C16" s="18"/>
      <c r="D16" s="232"/>
      <c r="E16" s="233"/>
      <c r="F16" s="18"/>
      <c r="G16" s="18"/>
      <c r="H16" s="18"/>
      <c r="I16" s="220"/>
      <c r="J16" s="221"/>
      <c r="K16" s="18"/>
      <c r="L16" s="124"/>
      <c r="M16" s="124"/>
      <c r="N16" s="220"/>
      <c r="O16" s="221"/>
      <c r="P16" s="18"/>
      <c r="Q16" s="18"/>
      <c r="R16" s="18"/>
      <c r="S16" s="18"/>
      <c r="T16" s="18"/>
      <c r="U16" s="18"/>
      <c r="V16" s="222"/>
      <c r="W16" s="223"/>
      <c r="X16" s="227"/>
      <c r="Y16" s="228"/>
      <c r="Z16" s="228"/>
      <c r="AA16" s="229"/>
      <c r="AB16" s="18"/>
      <c r="AC16" s="18"/>
      <c r="AD16" s="227"/>
      <c r="AE16" s="228"/>
      <c r="AF16" s="228"/>
      <c r="AG16" s="229"/>
      <c r="AH16" s="18"/>
      <c r="AI16" s="227"/>
      <c r="AJ16" s="228"/>
      <c r="AK16" s="228"/>
      <c r="AL16" s="229"/>
      <c r="AM16" s="18"/>
      <c r="AN16" s="227"/>
      <c r="AO16" s="228"/>
      <c r="AP16" s="228"/>
      <c r="AQ16" s="229"/>
      <c r="AR16" s="18"/>
      <c r="AS16" s="227"/>
      <c r="AT16" s="228"/>
      <c r="AU16" s="228"/>
      <c r="AV16" s="229"/>
      <c r="AW16" s="18"/>
      <c r="AX16" s="227"/>
      <c r="AY16" s="228"/>
      <c r="AZ16" s="228"/>
      <c r="BA16" s="229"/>
      <c r="BB16" s="18"/>
      <c r="BC16" s="227"/>
      <c r="BD16" s="228"/>
      <c r="BE16" s="228"/>
      <c r="BF16" s="229"/>
      <c r="BG16" s="18"/>
      <c r="BH16" s="227"/>
      <c r="BI16" s="228"/>
      <c r="BJ16" s="228"/>
      <c r="BK16" s="229"/>
      <c r="BL16" s="18"/>
      <c r="BM16" s="227"/>
      <c r="BN16" s="228"/>
      <c r="BO16" s="228"/>
      <c r="BP16" s="229"/>
      <c r="BQ16" s="18"/>
      <c r="BR16" s="227"/>
      <c r="BS16" s="228"/>
      <c r="BT16" s="228"/>
      <c r="BU16" s="229"/>
      <c r="BV16" s="18"/>
      <c r="BW16" s="227"/>
      <c r="BX16" s="228"/>
      <c r="BY16" s="228"/>
      <c r="BZ16" s="229"/>
      <c r="CA16" s="18"/>
      <c r="CB16" s="227"/>
      <c r="CC16" s="228"/>
      <c r="CD16" s="228"/>
      <c r="CE16" s="229"/>
      <c r="CF16" s="18"/>
      <c r="CG16" s="227"/>
      <c r="CH16" s="228"/>
      <c r="CI16" s="228"/>
      <c r="CJ16" s="229"/>
      <c r="CK16" s="18"/>
      <c r="CL16" s="227"/>
      <c r="CM16" s="228"/>
      <c r="CN16" s="228"/>
      <c r="CO16" s="229"/>
      <c r="CP16" s="18"/>
      <c r="CQ16" s="29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</row>
    <row r="17" spans="1:106" ht="15" customHeight="1" thickBot="1" x14ac:dyDescent="0.3">
      <c r="A17" s="18"/>
      <c r="B17" s="18"/>
      <c r="C17" s="18"/>
      <c r="D17" s="234"/>
      <c r="E17" s="235"/>
      <c r="F17" s="18"/>
      <c r="G17" s="18"/>
      <c r="H17" s="18"/>
      <c r="I17" s="222"/>
      <c r="J17" s="223"/>
      <c r="K17" s="18"/>
      <c r="L17" s="124"/>
      <c r="M17" s="124"/>
      <c r="N17" s="222"/>
      <c r="O17" s="223"/>
      <c r="P17" s="18"/>
      <c r="Q17" s="18"/>
      <c r="R17" s="18"/>
      <c r="S17" s="18"/>
      <c r="T17" s="18"/>
      <c r="U17" s="18"/>
      <c r="V17" s="220" t="b">
        <f>Selections!U9</f>
        <v>0</v>
      </c>
      <c r="W17" s="221"/>
      <c r="X17" s="224" t="str">
        <f>'Display Map'!G9</f>
        <v/>
      </c>
      <c r="Y17" s="225"/>
      <c r="Z17" s="225"/>
      <c r="AA17" s="226"/>
      <c r="AB17" s="18"/>
      <c r="AC17" s="18"/>
      <c r="AD17" s="224" t="str">
        <f>'Display Map'!K9</f>
        <v>9 - ♣</v>
      </c>
      <c r="AE17" s="225"/>
      <c r="AF17" s="225"/>
      <c r="AG17" s="226"/>
      <c r="AH17" s="18"/>
      <c r="AI17" s="224" t="str">
        <f>'Display Map'!L9</f>
        <v>Q - ♠</v>
      </c>
      <c r="AJ17" s="225"/>
      <c r="AK17" s="225"/>
      <c r="AL17" s="226"/>
      <c r="AM17" s="18"/>
      <c r="AN17" s="224" t="str">
        <f>'Display Map'!M9</f>
        <v>4 - ♠</v>
      </c>
      <c r="AO17" s="225"/>
      <c r="AP17" s="225"/>
      <c r="AQ17" s="226"/>
      <c r="AR17" s="18"/>
      <c r="AS17" s="224" t="str">
        <f>'Display Map'!N9</f>
        <v/>
      </c>
      <c r="AT17" s="225"/>
      <c r="AU17" s="225"/>
      <c r="AV17" s="226"/>
      <c r="AW17" s="18"/>
      <c r="AX17" s="224" t="str">
        <f>'Display Map'!O9</f>
        <v/>
      </c>
      <c r="AY17" s="225"/>
      <c r="AZ17" s="225"/>
      <c r="BA17" s="226"/>
      <c r="BB17" s="18"/>
      <c r="BC17" s="224" t="str">
        <f>'Display Map'!P9</f>
        <v/>
      </c>
      <c r="BD17" s="225"/>
      <c r="BE17" s="225"/>
      <c r="BF17" s="226"/>
      <c r="BG17" s="18"/>
      <c r="BH17" s="224" t="str">
        <f>'Display Map'!Q9</f>
        <v/>
      </c>
      <c r="BI17" s="225"/>
      <c r="BJ17" s="225"/>
      <c r="BK17" s="226"/>
      <c r="BL17" s="18"/>
      <c r="BM17" s="224" t="str">
        <f>'Display Map'!R9</f>
        <v/>
      </c>
      <c r="BN17" s="225"/>
      <c r="BO17" s="225"/>
      <c r="BP17" s="226"/>
      <c r="BQ17" s="18"/>
      <c r="BR17" s="224" t="str">
        <f>'Display Map'!S9</f>
        <v/>
      </c>
      <c r="BS17" s="225"/>
      <c r="BT17" s="225"/>
      <c r="BU17" s="226"/>
      <c r="BV17" s="18"/>
      <c r="BW17" s="224" t="str">
        <f>'Display Map'!T9</f>
        <v/>
      </c>
      <c r="BX17" s="225"/>
      <c r="BY17" s="225"/>
      <c r="BZ17" s="226"/>
      <c r="CA17" s="18"/>
      <c r="CB17" s="224" t="str">
        <f>'Display Map'!U9</f>
        <v/>
      </c>
      <c r="CC17" s="225"/>
      <c r="CD17" s="225"/>
      <c r="CE17" s="226"/>
      <c r="CF17" s="18"/>
      <c r="CG17" s="224" t="str">
        <f>'Display Map'!V9</f>
        <v/>
      </c>
      <c r="CH17" s="225"/>
      <c r="CI17" s="225"/>
      <c r="CJ17" s="226"/>
      <c r="CK17" s="18"/>
      <c r="CL17" s="224" t="str">
        <f>'Display Map'!W9</f>
        <v/>
      </c>
      <c r="CM17" s="225"/>
      <c r="CN17" s="225"/>
      <c r="CO17" s="226"/>
      <c r="CP17" s="18"/>
      <c r="CQ17" s="29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</row>
    <row r="18" spans="1:106" ht="15" customHeight="1" thickBot="1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222"/>
      <c r="W18" s="223"/>
      <c r="X18" s="227"/>
      <c r="Y18" s="228"/>
      <c r="Z18" s="228"/>
      <c r="AA18" s="229"/>
      <c r="AB18" s="18"/>
      <c r="AC18" s="18"/>
      <c r="AD18" s="227"/>
      <c r="AE18" s="228"/>
      <c r="AF18" s="228"/>
      <c r="AG18" s="229"/>
      <c r="AH18" s="18"/>
      <c r="AI18" s="227"/>
      <c r="AJ18" s="228"/>
      <c r="AK18" s="228"/>
      <c r="AL18" s="229"/>
      <c r="AM18" s="18"/>
      <c r="AN18" s="227"/>
      <c r="AO18" s="228"/>
      <c r="AP18" s="228"/>
      <c r="AQ18" s="229"/>
      <c r="AR18" s="18"/>
      <c r="AS18" s="227"/>
      <c r="AT18" s="228"/>
      <c r="AU18" s="228"/>
      <c r="AV18" s="229"/>
      <c r="AW18" s="18"/>
      <c r="AX18" s="227"/>
      <c r="AY18" s="228"/>
      <c r="AZ18" s="228"/>
      <c r="BA18" s="229"/>
      <c r="BB18" s="18"/>
      <c r="BC18" s="227"/>
      <c r="BD18" s="228"/>
      <c r="BE18" s="228"/>
      <c r="BF18" s="229"/>
      <c r="BG18" s="18"/>
      <c r="BH18" s="227"/>
      <c r="BI18" s="228"/>
      <c r="BJ18" s="228"/>
      <c r="BK18" s="229"/>
      <c r="BL18" s="18"/>
      <c r="BM18" s="227"/>
      <c r="BN18" s="228"/>
      <c r="BO18" s="228"/>
      <c r="BP18" s="229"/>
      <c r="BQ18" s="18"/>
      <c r="BR18" s="227"/>
      <c r="BS18" s="228"/>
      <c r="BT18" s="228"/>
      <c r="BU18" s="229"/>
      <c r="BV18" s="18"/>
      <c r="BW18" s="227"/>
      <c r="BX18" s="228"/>
      <c r="BY18" s="228"/>
      <c r="BZ18" s="229"/>
      <c r="CA18" s="18"/>
      <c r="CB18" s="227"/>
      <c r="CC18" s="228"/>
      <c r="CD18" s="228"/>
      <c r="CE18" s="229"/>
      <c r="CF18" s="18"/>
      <c r="CG18" s="227"/>
      <c r="CH18" s="228"/>
      <c r="CI18" s="228"/>
      <c r="CJ18" s="229"/>
      <c r="CK18" s="18"/>
      <c r="CL18" s="227"/>
      <c r="CM18" s="228"/>
      <c r="CN18" s="228"/>
      <c r="CO18" s="229"/>
      <c r="CP18" s="18"/>
      <c r="CQ18" s="29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</row>
    <row r="19" spans="1:106" ht="15" customHeight="1" thickBot="1" x14ac:dyDescent="0.3">
      <c r="A19" s="18"/>
      <c r="B19" s="18"/>
      <c r="C19" s="18"/>
      <c r="D19" s="242" t="s">
        <v>10</v>
      </c>
      <c r="E19" s="243"/>
      <c r="F19" s="18"/>
      <c r="G19" s="266" t="str">
        <f>'Display Map'!C5</f>
        <v>Ace</v>
      </c>
      <c r="H19" s="267"/>
      <c r="I19" s="267"/>
      <c r="J19" s="268"/>
      <c r="K19" s="18"/>
      <c r="L19" s="266" t="str">
        <f>'Display Map'!D5</f>
        <v>King</v>
      </c>
      <c r="M19" s="267"/>
      <c r="N19" s="267"/>
      <c r="O19" s="268"/>
      <c r="P19" s="18"/>
      <c r="Q19" s="18"/>
      <c r="R19" s="18"/>
      <c r="S19" s="18"/>
      <c r="T19" s="18"/>
      <c r="U19" s="18"/>
      <c r="V19" s="220" t="b">
        <f>Selections!U10</f>
        <v>0</v>
      </c>
      <c r="W19" s="221"/>
      <c r="X19" s="224" t="str">
        <f>'Display Map'!G10</f>
        <v/>
      </c>
      <c r="Y19" s="225"/>
      <c r="Z19" s="225"/>
      <c r="AA19" s="226"/>
      <c r="AB19" s="18"/>
      <c r="AC19" s="18"/>
      <c r="AD19" s="224" t="str">
        <f>'Display Map'!K10</f>
        <v/>
      </c>
      <c r="AE19" s="225"/>
      <c r="AF19" s="225"/>
      <c r="AG19" s="226"/>
      <c r="AH19" s="18"/>
      <c r="AI19" s="224" t="str">
        <f>'Display Map'!L10</f>
        <v/>
      </c>
      <c r="AJ19" s="225"/>
      <c r="AK19" s="225"/>
      <c r="AL19" s="226"/>
      <c r="AM19" s="18"/>
      <c r="AN19" s="224" t="str">
        <f>'Display Map'!M10</f>
        <v/>
      </c>
      <c r="AO19" s="225"/>
      <c r="AP19" s="225"/>
      <c r="AQ19" s="226"/>
      <c r="AR19" s="18"/>
      <c r="AS19" s="224" t="str">
        <f>'Display Map'!N10</f>
        <v/>
      </c>
      <c r="AT19" s="225"/>
      <c r="AU19" s="225"/>
      <c r="AV19" s="226"/>
      <c r="AW19" s="18"/>
      <c r="AX19" s="224" t="str">
        <f>'Display Map'!O10</f>
        <v/>
      </c>
      <c r="AY19" s="225"/>
      <c r="AZ19" s="225"/>
      <c r="BA19" s="226"/>
      <c r="BB19" s="18"/>
      <c r="BC19" s="224" t="str">
        <f>'Display Map'!P10</f>
        <v/>
      </c>
      <c r="BD19" s="225"/>
      <c r="BE19" s="225"/>
      <c r="BF19" s="226"/>
      <c r="BG19" s="18"/>
      <c r="BH19" s="224" t="str">
        <f>'Display Map'!Q10</f>
        <v/>
      </c>
      <c r="BI19" s="225"/>
      <c r="BJ19" s="225"/>
      <c r="BK19" s="226"/>
      <c r="BL19" s="18"/>
      <c r="BM19" s="224" t="str">
        <f>'Display Map'!R10</f>
        <v/>
      </c>
      <c r="BN19" s="225"/>
      <c r="BO19" s="225"/>
      <c r="BP19" s="226"/>
      <c r="BQ19" s="18"/>
      <c r="BR19" s="224" t="str">
        <f>'Display Map'!S10</f>
        <v/>
      </c>
      <c r="BS19" s="225"/>
      <c r="BT19" s="225"/>
      <c r="BU19" s="226"/>
      <c r="BV19" s="18"/>
      <c r="BW19" s="224" t="str">
        <f>'Display Map'!T10</f>
        <v/>
      </c>
      <c r="BX19" s="225"/>
      <c r="BY19" s="225"/>
      <c r="BZ19" s="226"/>
      <c r="CA19" s="18"/>
      <c r="CB19" s="224" t="str">
        <f>'Display Map'!U10</f>
        <v/>
      </c>
      <c r="CC19" s="225"/>
      <c r="CD19" s="225"/>
      <c r="CE19" s="226"/>
      <c r="CF19" s="18"/>
      <c r="CG19" s="224" t="str">
        <f>'Display Map'!V10</f>
        <v/>
      </c>
      <c r="CH19" s="225"/>
      <c r="CI19" s="225"/>
      <c r="CJ19" s="226"/>
      <c r="CK19" s="18"/>
      <c r="CL19" s="224" t="str">
        <f>'Display Map'!W10</f>
        <v/>
      </c>
      <c r="CM19" s="225"/>
      <c r="CN19" s="225"/>
      <c r="CO19" s="226"/>
      <c r="CP19" s="18"/>
      <c r="CQ19" s="29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</row>
    <row r="20" spans="1:106" ht="15" customHeight="1" thickBot="1" x14ac:dyDescent="0.3">
      <c r="A20" s="18"/>
      <c r="B20" s="18"/>
      <c r="C20" s="18"/>
      <c r="D20" s="244"/>
      <c r="E20" s="245"/>
      <c r="F20" s="18"/>
      <c r="G20" s="269"/>
      <c r="H20" s="270"/>
      <c r="I20" s="270"/>
      <c r="J20" s="271"/>
      <c r="K20" s="18"/>
      <c r="L20" s="269"/>
      <c r="M20" s="270"/>
      <c r="N20" s="270"/>
      <c r="O20" s="271"/>
      <c r="P20" s="18"/>
      <c r="Q20" s="18"/>
      <c r="R20" s="18"/>
      <c r="S20" s="18"/>
      <c r="T20" s="18"/>
      <c r="U20" s="18"/>
      <c r="V20" s="222"/>
      <c r="W20" s="223"/>
      <c r="X20" s="227"/>
      <c r="Y20" s="228"/>
      <c r="Z20" s="228"/>
      <c r="AA20" s="229"/>
      <c r="AB20" s="18"/>
      <c r="AC20" s="18"/>
      <c r="AD20" s="227"/>
      <c r="AE20" s="228"/>
      <c r="AF20" s="228"/>
      <c r="AG20" s="229"/>
      <c r="AH20" s="18"/>
      <c r="AI20" s="227"/>
      <c r="AJ20" s="228"/>
      <c r="AK20" s="228"/>
      <c r="AL20" s="229"/>
      <c r="AM20" s="18"/>
      <c r="AN20" s="227"/>
      <c r="AO20" s="228"/>
      <c r="AP20" s="228"/>
      <c r="AQ20" s="229"/>
      <c r="AR20" s="18"/>
      <c r="AS20" s="227"/>
      <c r="AT20" s="228"/>
      <c r="AU20" s="228"/>
      <c r="AV20" s="229"/>
      <c r="AW20" s="18"/>
      <c r="AX20" s="227"/>
      <c r="AY20" s="228"/>
      <c r="AZ20" s="228"/>
      <c r="BA20" s="229"/>
      <c r="BB20" s="18"/>
      <c r="BC20" s="227"/>
      <c r="BD20" s="228"/>
      <c r="BE20" s="228"/>
      <c r="BF20" s="229"/>
      <c r="BG20" s="18"/>
      <c r="BH20" s="227"/>
      <c r="BI20" s="228"/>
      <c r="BJ20" s="228"/>
      <c r="BK20" s="229"/>
      <c r="BL20" s="18"/>
      <c r="BM20" s="227"/>
      <c r="BN20" s="228"/>
      <c r="BO20" s="228"/>
      <c r="BP20" s="229"/>
      <c r="BQ20" s="18"/>
      <c r="BR20" s="227"/>
      <c r="BS20" s="228"/>
      <c r="BT20" s="228"/>
      <c r="BU20" s="229"/>
      <c r="BV20" s="18"/>
      <c r="BW20" s="227"/>
      <c r="BX20" s="228"/>
      <c r="BY20" s="228"/>
      <c r="BZ20" s="229"/>
      <c r="CA20" s="18"/>
      <c r="CB20" s="227"/>
      <c r="CC20" s="228"/>
      <c r="CD20" s="228"/>
      <c r="CE20" s="229"/>
      <c r="CF20" s="18"/>
      <c r="CG20" s="227"/>
      <c r="CH20" s="228"/>
      <c r="CI20" s="228"/>
      <c r="CJ20" s="229"/>
      <c r="CK20" s="18"/>
      <c r="CL20" s="227"/>
      <c r="CM20" s="228"/>
      <c r="CN20" s="228"/>
      <c r="CO20" s="229"/>
      <c r="CP20" s="18"/>
      <c r="CQ20" s="29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</row>
    <row r="21" spans="1:106" ht="15" customHeight="1" thickBot="1" x14ac:dyDescent="0.3">
      <c r="A21" s="18"/>
      <c r="B21" s="18"/>
      <c r="C21" s="18"/>
      <c r="D21" s="244"/>
      <c r="E21" s="245"/>
      <c r="F21" s="18"/>
      <c r="G21" s="118"/>
      <c r="H21" s="119"/>
      <c r="I21" s="220" t="b">
        <f>Selections!I5</f>
        <v>0</v>
      </c>
      <c r="J21" s="221"/>
      <c r="K21" s="18"/>
      <c r="L21" s="18"/>
      <c r="M21" s="18"/>
      <c r="N21" s="220" t="b">
        <f>Selections!I9</f>
        <v>0</v>
      </c>
      <c r="O21" s="221"/>
      <c r="P21" s="18"/>
      <c r="Q21" s="18"/>
      <c r="R21" s="18"/>
      <c r="S21" s="18"/>
      <c r="T21" s="18"/>
      <c r="U21" s="18"/>
      <c r="V21" s="220" t="b">
        <f>Selections!U11</f>
        <v>0</v>
      </c>
      <c r="W21" s="221"/>
      <c r="X21" s="224" t="str">
        <f>'Display Map'!G11</f>
        <v/>
      </c>
      <c r="Y21" s="225"/>
      <c r="Z21" s="225"/>
      <c r="AA21" s="226"/>
      <c r="AB21" s="18"/>
      <c r="AC21" s="18"/>
      <c r="AD21" s="224" t="str">
        <f>'Display Map'!K11</f>
        <v/>
      </c>
      <c r="AE21" s="225"/>
      <c r="AF21" s="225"/>
      <c r="AG21" s="226"/>
      <c r="AH21" s="18"/>
      <c r="AI21" s="224" t="str">
        <f>'Display Map'!L11</f>
        <v/>
      </c>
      <c r="AJ21" s="225"/>
      <c r="AK21" s="225"/>
      <c r="AL21" s="226"/>
      <c r="AM21" s="18"/>
      <c r="AN21" s="224" t="str">
        <f>'Display Map'!M11</f>
        <v/>
      </c>
      <c r="AO21" s="225"/>
      <c r="AP21" s="225"/>
      <c r="AQ21" s="226"/>
      <c r="AR21" s="18"/>
      <c r="AS21" s="224" t="str">
        <f>'Display Map'!N11</f>
        <v/>
      </c>
      <c r="AT21" s="225"/>
      <c r="AU21" s="225"/>
      <c r="AV21" s="226"/>
      <c r="AW21" s="18"/>
      <c r="AX21" s="224" t="str">
        <f>'Display Map'!O11</f>
        <v/>
      </c>
      <c r="AY21" s="225"/>
      <c r="AZ21" s="225"/>
      <c r="BA21" s="226"/>
      <c r="BB21" s="18"/>
      <c r="BC21" s="224" t="str">
        <f>'Display Map'!P11</f>
        <v/>
      </c>
      <c r="BD21" s="225"/>
      <c r="BE21" s="225"/>
      <c r="BF21" s="226"/>
      <c r="BG21" s="18"/>
      <c r="BH21" s="224" t="str">
        <f>'Display Map'!Q11</f>
        <v/>
      </c>
      <c r="BI21" s="225"/>
      <c r="BJ21" s="225"/>
      <c r="BK21" s="226"/>
      <c r="BL21" s="18"/>
      <c r="BM21" s="224" t="str">
        <f>'Display Map'!R11</f>
        <v/>
      </c>
      <c r="BN21" s="225"/>
      <c r="BO21" s="225"/>
      <c r="BP21" s="226"/>
      <c r="BQ21" s="18"/>
      <c r="BR21" s="224" t="str">
        <f>'Display Map'!S11</f>
        <v/>
      </c>
      <c r="BS21" s="225"/>
      <c r="BT21" s="225"/>
      <c r="BU21" s="226"/>
      <c r="BV21" s="18"/>
      <c r="BW21" s="224" t="str">
        <f>'Display Map'!T11</f>
        <v/>
      </c>
      <c r="BX21" s="225"/>
      <c r="BY21" s="225"/>
      <c r="BZ21" s="226"/>
      <c r="CA21" s="18"/>
      <c r="CB21" s="224" t="str">
        <f>'Display Map'!U11</f>
        <v/>
      </c>
      <c r="CC21" s="225"/>
      <c r="CD21" s="225"/>
      <c r="CE21" s="226"/>
      <c r="CF21" s="18"/>
      <c r="CG21" s="224" t="str">
        <f>'Display Map'!V11</f>
        <v/>
      </c>
      <c r="CH21" s="225"/>
      <c r="CI21" s="225"/>
      <c r="CJ21" s="226"/>
      <c r="CK21" s="18"/>
      <c r="CL21" s="224" t="str">
        <f>'Display Map'!W11</f>
        <v/>
      </c>
      <c r="CM21" s="225"/>
      <c r="CN21" s="225"/>
      <c r="CO21" s="226"/>
      <c r="CP21" s="18"/>
      <c r="CQ21" s="29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</row>
    <row r="22" spans="1:106" ht="15" customHeight="1" thickBot="1" x14ac:dyDescent="0.3">
      <c r="A22" s="18"/>
      <c r="B22" s="18"/>
      <c r="C22" s="18"/>
      <c r="D22" s="244"/>
      <c r="E22" s="245"/>
      <c r="F22" s="18"/>
      <c r="G22" s="120"/>
      <c r="H22" s="121"/>
      <c r="I22" s="222"/>
      <c r="J22" s="223"/>
      <c r="K22" s="18"/>
      <c r="L22" s="18"/>
      <c r="M22" s="18"/>
      <c r="N22" s="222"/>
      <c r="O22" s="223"/>
      <c r="P22" s="18"/>
      <c r="Q22" s="18"/>
      <c r="R22" s="18"/>
      <c r="S22" s="18"/>
      <c r="T22" s="18"/>
      <c r="U22" s="18"/>
      <c r="V22" s="222"/>
      <c r="W22" s="223"/>
      <c r="X22" s="227"/>
      <c r="Y22" s="228"/>
      <c r="Z22" s="228"/>
      <c r="AA22" s="229"/>
      <c r="AB22" s="18"/>
      <c r="AC22" s="18"/>
      <c r="AD22" s="227"/>
      <c r="AE22" s="228"/>
      <c r="AF22" s="228"/>
      <c r="AG22" s="229"/>
      <c r="AH22" s="18"/>
      <c r="AI22" s="227"/>
      <c r="AJ22" s="228"/>
      <c r="AK22" s="228"/>
      <c r="AL22" s="229"/>
      <c r="AM22" s="18"/>
      <c r="AN22" s="227"/>
      <c r="AO22" s="228"/>
      <c r="AP22" s="228"/>
      <c r="AQ22" s="229"/>
      <c r="AR22" s="18"/>
      <c r="AS22" s="227"/>
      <c r="AT22" s="228"/>
      <c r="AU22" s="228"/>
      <c r="AV22" s="229"/>
      <c r="AW22" s="18"/>
      <c r="AX22" s="227"/>
      <c r="AY22" s="228"/>
      <c r="AZ22" s="228"/>
      <c r="BA22" s="229"/>
      <c r="BB22" s="18"/>
      <c r="BC22" s="227"/>
      <c r="BD22" s="228"/>
      <c r="BE22" s="228"/>
      <c r="BF22" s="229"/>
      <c r="BG22" s="18"/>
      <c r="BH22" s="227"/>
      <c r="BI22" s="228"/>
      <c r="BJ22" s="228"/>
      <c r="BK22" s="229"/>
      <c r="BL22" s="18"/>
      <c r="BM22" s="227"/>
      <c r="BN22" s="228"/>
      <c r="BO22" s="228"/>
      <c r="BP22" s="229"/>
      <c r="BQ22" s="18"/>
      <c r="BR22" s="227"/>
      <c r="BS22" s="228"/>
      <c r="BT22" s="228"/>
      <c r="BU22" s="229"/>
      <c r="BV22" s="18"/>
      <c r="BW22" s="227"/>
      <c r="BX22" s="228"/>
      <c r="BY22" s="228"/>
      <c r="BZ22" s="229"/>
      <c r="CA22" s="18"/>
      <c r="CB22" s="227"/>
      <c r="CC22" s="228"/>
      <c r="CD22" s="228"/>
      <c r="CE22" s="229"/>
      <c r="CF22" s="18"/>
      <c r="CG22" s="227"/>
      <c r="CH22" s="228"/>
      <c r="CI22" s="228"/>
      <c r="CJ22" s="229"/>
      <c r="CK22" s="18"/>
      <c r="CL22" s="227"/>
      <c r="CM22" s="228"/>
      <c r="CN22" s="228"/>
      <c r="CO22" s="229"/>
      <c r="CP22" s="18"/>
      <c r="CQ22" s="29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</row>
    <row r="23" spans="1:106" ht="15" customHeight="1" thickBot="1" x14ac:dyDescent="0.3">
      <c r="A23" s="18"/>
      <c r="B23" s="18"/>
      <c r="C23" s="18"/>
      <c r="D23" s="244"/>
      <c r="E23" s="245"/>
      <c r="F23" s="18"/>
      <c r="G23" s="18"/>
      <c r="H23" s="18"/>
      <c r="I23" s="220"/>
      <c r="J23" s="221"/>
      <c r="K23" s="18"/>
      <c r="L23" s="124"/>
      <c r="M23" s="124"/>
      <c r="N23" s="220"/>
      <c r="O23" s="221"/>
      <c r="P23" s="18"/>
      <c r="Q23" s="18"/>
      <c r="R23" s="18"/>
      <c r="S23" s="18"/>
      <c r="T23" s="18"/>
      <c r="U23" s="18"/>
      <c r="V23" s="220" t="b">
        <f>Selections!U12</f>
        <v>0</v>
      </c>
      <c r="W23" s="221"/>
      <c r="X23" s="224" t="str">
        <f>'Display Map'!G12</f>
        <v/>
      </c>
      <c r="Y23" s="225"/>
      <c r="Z23" s="225"/>
      <c r="AA23" s="226"/>
      <c r="AB23" s="18"/>
      <c r="AC23" s="18"/>
      <c r="AD23" s="224" t="str">
        <f>'Display Map'!K12</f>
        <v/>
      </c>
      <c r="AE23" s="225"/>
      <c r="AF23" s="225"/>
      <c r="AG23" s="226"/>
      <c r="AH23" s="18"/>
      <c r="AI23" s="224" t="str">
        <f>'Display Map'!L12</f>
        <v/>
      </c>
      <c r="AJ23" s="225"/>
      <c r="AK23" s="225"/>
      <c r="AL23" s="226"/>
      <c r="AM23" s="18"/>
      <c r="AN23" s="224" t="str">
        <f>'Display Map'!M12</f>
        <v/>
      </c>
      <c r="AO23" s="225"/>
      <c r="AP23" s="225"/>
      <c r="AQ23" s="226"/>
      <c r="AR23" s="18"/>
      <c r="AS23" s="224" t="str">
        <f>'Display Map'!N12</f>
        <v/>
      </c>
      <c r="AT23" s="225"/>
      <c r="AU23" s="225"/>
      <c r="AV23" s="226"/>
      <c r="AW23" s="18"/>
      <c r="AX23" s="224" t="str">
        <f>'Display Map'!O12</f>
        <v/>
      </c>
      <c r="AY23" s="225"/>
      <c r="AZ23" s="225"/>
      <c r="BA23" s="226"/>
      <c r="BB23" s="18"/>
      <c r="BC23" s="224" t="str">
        <f>'Display Map'!P12</f>
        <v/>
      </c>
      <c r="BD23" s="225"/>
      <c r="BE23" s="225"/>
      <c r="BF23" s="226"/>
      <c r="BG23" s="18"/>
      <c r="BH23" s="224" t="str">
        <f>'Display Map'!Q12</f>
        <v/>
      </c>
      <c r="BI23" s="225"/>
      <c r="BJ23" s="225"/>
      <c r="BK23" s="226"/>
      <c r="BL23" s="18"/>
      <c r="BM23" s="224" t="str">
        <f>'Display Map'!R12</f>
        <v/>
      </c>
      <c r="BN23" s="225"/>
      <c r="BO23" s="225"/>
      <c r="BP23" s="226"/>
      <c r="BQ23" s="18"/>
      <c r="BR23" s="224" t="str">
        <f>'Display Map'!S12</f>
        <v/>
      </c>
      <c r="BS23" s="225"/>
      <c r="BT23" s="225"/>
      <c r="BU23" s="226"/>
      <c r="BV23" s="18"/>
      <c r="BW23" s="224" t="str">
        <f>'Display Map'!T12</f>
        <v/>
      </c>
      <c r="BX23" s="225"/>
      <c r="BY23" s="225"/>
      <c r="BZ23" s="226"/>
      <c r="CA23" s="18"/>
      <c r="CB23" s="224" t="str">
        <f>'Display Map'!U12</f>
        <v/>
      </c>
      <c r="CC23" s="225"/>
      <c r="CD23" s="225"/>
      <c r="CE23" s="226"/>
      <c r="CF23" s="18"/>
      <c r="CG23" s="224" t="str">
        <f>'Display Map'!V12</f>
        <v/>
      </c>
      <c r="CH23" s="225"/>
      <c r="CI23" s="225"/>
      <c r="CJ23" s="226"/>
      <c r="CK23" s="18"/>
      <c r="CL23" s="224" t="str">
        <f>'Display Map'!W12</f>
        <v/>
      </c>
      <c r="CM23" s="225"/>
      <c r="CN23" s="225"/>
      <c r="CO23" s="226"/>
      <c r="CP23" s="18"/>
      <c r="CQ23" s="29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</row>
    <row r="24" spans="1:106" ht="15" customHeight="1" thickBot="1" x14ac:dyDescent="0.3">
      <c r="A24" s="18"/>
      <c r="B24" s="18"/>
      <c r="C24" s="18"/>
      <c r="D24" s="246"/>
      <c r="E24" s="247"/>
      <c r="F24" s="18"/>
      <c r="G24" s="18"/>
      <c r="H24" s="18"/>
      <c r="I24" s="222"/>
      <c r="J24" s="223"/>
      <c r="K24" s="18"/>
      <c r="L24" s="124"/>
      <c r="M24" s="124"/>
      <c r="N24" s="222"/>
      <c r="O24" s="223"/>
      <c r="P24" s="18"/>
      <c r="Q24" s="18"/>
      <c r="R24" s="18"/>
      <c r="S24" s="18"/>
      <c r="T24" s="18"/>
      <c r="U24" s="18"/>
      <c r="V24" s="222"/>
      <c r="W24" s="223"/>
      <c r="X24" s="227"/>
      <c r="Y24" s="228"/>
      <c r="Z24" s="228"/>
      <c r="AA24" s="229"/>
      <c r="AB24" s="18"/>
      <c r="AC24" s="18"/>
      <c r="AD24" s="227"/>
      <c r="AE24" s="228"/>
      <c r="AF24" s="228"/>
      <c r="AG24" s="229"/>
      <c r="AH24" s="18"/>
      <c r="AI24" s="227"/>
      <c r="AJ24" s="228"/>
      <c r="AK24" s="228"/>
      <c r="AL24" s="229"/>
      <c r="AM24" s="18"/>
      <c r="AN24" s="227"/>
      <c r="AO24" s="228"/>
      <c r="AP24" s="228"/>
      <c r="AQ24" s="229"/>
      <c r="AR24" s="18"/>
      <c r="AS24" s="227"/>
      <c r="AT24" s="228"/>
      <c r="AU24" s="228"/>
      <c r="AV24" s="229"/>
      <c r="AW24" s="18"/>
      <c r="AX24" s="227"/>
      <c r="AY24" s="228"/>
      <c r="AZ24" s="228"/>
      <c r="BA24" s="229"/>
      <c r="BB24" s="18"/>
      <c r="BC24" s="227"/>
      <c r="BD24" s="228"/>
      <c r="BE24" s="228"/>
      <c r="BF24" s="229"/>
      <c r="BG24" s="18"/>
      <c r="BH24" s="227"/>
      <c r="BI24" s="228"/>
      <c r="BJ24" s="228"/>
      <c r="BK24" s="229"/>
      <c r="BL24" s="18"/>
      <c r="BM24" s="227"/>
      <c r="BN24" s="228"/>
      <c r="BO24" s="228"/>
      <c r="BP24" s="229"/>
      <c r="BQ24" s="18"/>
      <c r="BR24" s="227"/>
      <c r="BS24" s="228"/>
      <c r="BT24" s="228"/>
      <c r="BU24" s="229"/>
      <c r="BV24" s="18"/>
      <c r="BW24" s="227"/>
      <c r="BX24" s="228"/>
      <c r="BY24" s="228"/>
      <c r="BZ24" s="229"/>
      <c r="CA24" s="18"/>
      <c r="CB24" s="227"/>
      <c r="CC24" s="228"/>
      <c r="CD24" s="228"/>
      <c r="CE24" s="229"/>
      <c r="CF24" s="18"/>
      <c r="CG24" s="227"/>
      <c r="CH24" s="228"/>
      <c r="CI24" s="228"/>
      <c r="CJ24" s="229"/>
      <c r="CK24" s="18"/>
      <c r="CL24" s="227"/>
      <c r="CM24" s="228"/>
      <c r="CN24" s="228"/>
      <c r="CO24" s="229"/>
      <c r="CP24" s="18"/>
      <c r="CQ24" s="29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</row>
    <row r="25" spans="1:106" ht="15" customHeight="1" thickBot="1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220" t="b">
        <f>Selections!U13</f>
        <v>0</v>
      </c>
      <c r="W25" s="221"/>
      <c r="X25" s="224" t="str">
        <f>'Display Map'!G13</f>
        <v/>
      </c>
      <c r="Y25" s="225"/>
      <c r="Z25" s="225"/>
      <c r="AA25" s="226"/>
      <c r="AB25" s="18"/>
      <c r="AC25" s="18"/>
      <c r="AD25" s="224" t="str">
        <f>'Display Map'!K13</f>
        <v/>
      </c>
      <c r="AE25" s="225"/>
      <c r="AF25" s="225"/>
      <c r="AG25" s="226"/>
      <c r="AH25" s="18"/>
      <c r="AI25" s="224" t="str">
        <f>'Display Map'!L13</f>
        <v/>
      </c>
      <c r="AJ25" s="225"/>
      <c r="AK25" s="225"/>
      <c r="AL25" s="226"/>
      <c r="AM25" s="18"/>
      <c r="AN25" s="224" t="str">
        <f>'Display Map'!M13</f>
        <v/>
      </c>
      <c r="AO25" s="225"/>
      <c r="AP25" s="225"/>
      <c r="AQ25" s="226"/>
      <c r="AR25" s="18"/>
      <c r="AS25" s="224" t="str">
        <f>'Display Map'!N13</f>
        <v/>
      </c>
      <c r="AT25" s="225"/>
      <c r="AU25" s="225"/>
      <c r="AV25" s="226"/>
      <c r="AW25" s="18"/>
      <c r="AX25" s="224" t="str">
        <f>'Display Map'!O13</f>
        <v/>
      </c>
      <c r="AY25" s="225"/>
      <c r="AZ25" s="225"/>
      <c r="BA25" s="226"/>
      <c r="BB25" s="18"/>
      <c r="BC25" s="224" t="str">
        <f>'Display Map'!P13</f>
        <v/>
      </c>
      <c r="BD25" s="225"/>
      <c r="BE25" s="225"/>
      <c r="BF25" s="226"/>
      <c r="BG25" s="18"/>
      <c r="BH25" s="224" t="str">
        <f>'Display Map'!Q13</f>
        <v/>
      </c>
      <c r="BI25" s="225"/>
      <c r="BJ25" s="225"/>
      <c r="BK25" s="226"/>
      <c r="BL25" s="18"/>
      <c r="BM25" s="224" t="str">
        <f>'Display Map'!R13</f>
        <v/>
      </c>
      <c r="BN25" s="225"/>
      <c r="BO25" s="225"/>
      <c r="BP25" s="226"/>
      <c r="BQ25" s="18"/>
      <c r="BR25" s="224" t="str">
        <f>'Display Map'!S13</f>
        <v/>
      </c>
      <c r="BS25" s="225"/>
      <c r="BT25" s="225"/>
      <c r="BU25" s="226"/>
      <c r="BV25" s="18"/>
      <c r="BW25" s="224" t="str">
        <f>'Display Map'!T13</f>
        <v/>
      </c>
      <c r="BX25" s="225"/>
      <c r="BY25" s="225"/>
      <c r="BZ25" s="226"/>
      <c r="CA25" s="18"/>
      <c r="CB25" s="224" t="str">
        <f>'Display Map'!U13</f>
        <v/>
      </c>
      <c r="CC25" s="225"/>
      <c r="CD25" s="225"/>
      <c r="CE25" s="226"/>
      <c r="CF25" s="18"/>
      <c r="CG25" s="224" t="str">
        <f>'Display Map'!V13</f>
        <v/>
      </c>
      <c r="CH25" s="225"/>
      <c r="CI25" s="225"/>
      <c r="CJ25" s="226"/>
      <c r="CK25" s="18"/>
      <c r="CL25" s="224" t="str">
        <f>'Display Map'!W13</f>
        <v/>
      </c>
      <c r="CM25" s="225"/>
      <c r="CN25" s="225"/>
      <c r="CO25" s="226"/>
      <c r="CP25" s="18"/>
      <c r="CQ25" s="29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</row>
    <row r="26" spans="1:106" ht="15" customHeight="1" thickBot="1" x14ac:dyDescent="0.3">
      <c r="A26" s="18"/>
      <c r="B26" s="18"/>
      <c r="C26" s="18"/>
      <c r="D26" s="230" t="s">
        <v>8</v>
      </c>
      <c r="E26" s="231"/>
      <c r="F26" s="18"/>
      <c r="G26" s="236" t="str">
        <f>'Display Map'!C6</f>
        <v>Ace</v>
      </c>
      <c r="H26" s="237"/>
      <c r="I26" s="237"/>
      <c r="J26" s="238"/>
      <c r="K26" s="18"/>
      <c r="L26" s="236" t="str">
        <f>'Display Map'!D6</f>
        <v>King</v>
      </c>
      <c r="M26" s="237"/>
      <c r="N26" s="237"/>
      <c r="O26" s="238"/>
      <c r="P26" s="18"/>
      <c r="Q26" s="18"/>
      <c r="R26" s="18"/>
      <c r="S26" s="18"/>
      <c r="T26" s="18"/>
      <c r="U26" s="18"/>
      <c r="V26" s="222"/>
      <c r="W26" s="223"/>
      <c r="X26" s="227"/>
      <c r="Y26" s="228"/>
      <c r="Z26" s="228"/>
      <c r="AA26" s="229"/>
      <c r="AB26" s="18"/>
      <c r="AC26" s="18"/>
      <c r="AD26" s="227"/>
      <c r="AE26" s="228"/>
      <c r="AF26" s="228"/>
      <c r="AG26" s="229"/>
      <c r="AH26" s="18"/>
      <c r="AI26" s="227"/>
      <c r="AJ26" s="228"/>
      <c r="AK26" s="228"/>
      <c r="AL26" s="229"/>
      <c r="AM26" s="18"/>
      <c r="AN26" s="227"/>
      <c r="AO26" s="228"/>
      <c r="AP26" s="228"/>
      <c r="AQ26" s="229"/>
      <c r="AR26" s="18"/>
      <c r="AS26" s="227"/>
      <c r="AT26" s="228"/>
      <c r="AU26" s="228"/>
      <c r="AV26" s="229"/>
      <c r="AW26" s="18"/>
      <c r="AX26" s="227"/>
      <c r="AY26" s="228"/>
      <c r="AZ26" s="228"/>
      <c r="BA26" s="229"/>
      <c r="BB26" s="18"/>
      <c r="BC26" s="227"/>
      <c r="BD26" s="228"/>
      <c r="BE26" s="228"/>
      <c r="BF26" s="229"/>
      <c r="BG26" s="18"/>
      <c r="BH26" s="227"/>
      <c r="BI26" s="228"/>
      <c r="BJ26" s="228"/>
      <c r="BK26" s="229"/>
      <c r="BL26" s="18"/>
      <c r="BM26" s="227"/>
      <c r="BN26" s="228"/>
      <c r="BO26" s="228"/>
      <c r="BP26" s="229"/>
      <c r="BQ26" s="18"/>
      <c r="BR26" s="227"/>
      <c r="BS26" s="228"/>
      <c r="BT26" s="228"/>
      <c r="BU26" s="229"/>
      <c r="BV26" s="18"/>
      <c r="BW26" s="227"/>
      <c r="BX26" s="228"/>
      <c r="BY26" s="228"/>
      <c r="BZ26" s="229"/>
      <c r="CA26" s="18"/>
      <c r="CB26" s="227"/>
      <c r="CC26" s="228"/>
      <c r="CD26" s="228"/>
      <c r="CE26" s="229"/>
      <c r="CF26" s="18"/>
      <c r="CG26" s="227"/>
      <c r="CH26" s="228"/>
      <c r="CI26" s="228"/>
      <c r="CJ26" s="229"/>
      <c r="CK26" s="18"/>
      <c r="CL26" s="227"/>
      <c r="CM26" s="228"/>
      <c r="CN26" s="228"/>
      <c r="CO26" s="229"/>
      <c r="CP26" s="18"/>
      <c r="CQ26" s="29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</row>
    <row r="27" spans="1:106" ht="15" customHeight="1" thickBot="1" x14ac:dyDescent="0.3">
      <c r="A27" s="18"/>
      <c r="B27" s="18"/>
      <c r="C27" s="18"/>
      <c r="D27" s="232"/>
      <c r="E27" s="233"/>
      <c r="F27" s="18"/>
      <c r="G27" s="239"/>
      <c r="H27" s="240"/>
      <c r="I27" s="240"/>
      <c r="J27" s="241"/>
      <c r="K27" s="18"/>
      <c r="L27" s="239"/>
      <c r="M27" s="240"/>
      <c r="N27" s="240"/>
      <c r="O27" s="241"/>
      <c r="P27" s="18"/>
      <c r="Q27" s="18"/>
      <c r="R27" s="18"/>
      <c r="S27" s="18"/>
      <c r="T27" s="18"/>
      <c r="U27" s="18"/>
      <c r="V27" s="220" t="b">
        <f>Selections!U14</f>
        <v>0</v>
      </c>
      <c r="W27" s="221"/>
      <c r="X27" s="224" t="str">
        <f>'Display Map'!G14</f>
        <v/>
      </c>
      <c r="Y27" s="225"/>
      <c r="Z27" s="225"/>
      <c r="AA27" s="226"/>
      <c r="AB27" s="18"/>
      <c r="AC27" s="18"/>
      <c r="AD27" s="224" t="str">
        <f>'Display Map'!K14</f>
        <v/>
      </c>
      <c r="AE27" s="225"/>
      <c r="AF27" s="225"/>
      <c r="AG27" s="226"/>
      <c r="AH27" s="18"/>
      <c r="AI27" s="224" t="str">
        <f>'Display Map'!L14</f>
        <v/>
      </c>
      <c r="AJ27" s="225"/>
      <c r="AK27" s="225"/>
      <c r="AL27" s="226"/>
      <c r="AM27" s="18"/>
      <c r="AN27" s="224" t="str">
        <f>'Display Map'!M14</f>
        <v/>
      </c>
      <c r="AO27" s="225"/>
      <c r="AP27" s="225"/>
      <c r="AQ27" s="226"/>
      <c r="AR27" s="18"/>
      <c r="AS27" s="224" t="str">
        <f>'Display Map'!N14</f>
        <v/>
      </c>
      <c r="AT27" s="225"/>
      <c r="AU27" s="225"/>
      <c r="AV27" s="226"/>
      <c r="AW27" s="18"/>
      <c r="AX27" s="224" t="str">
        <f>'Display Map'!O14</f>
        <v/>
      </c>
      <c r="AY27" s="225"/>
      <c r="AZ27" s="225"/>
      <c r="BA27" s="226"/>
      <c r="BB27" s="18"/>
      <c r="BC27" s="224" t="str">
        <f>'Display Map'!P14</f>
        <v/>
      </c>
      <c r="BD27" s="225"/>
      <c r="BE27" s="225"/>
      <c r="BF27" s="226"/>
      <c r="BG27" s="18"/>
      <c r="BH27" s="224" t="str">
        <f>'Display Map'!Q14</f>
        <v/>
      </c>
      <c r="BI27" s="225"/>
      <c r="BJ27" s="225"/>
      <c r="BK27" s="226"/>
      <c r="BL27" s="18"/>
      <c r="BM27" s="224" t="str">
        <f>'Display Map'!R14</f>
        <v/>
      </c>
      <c r="BN27" s="225"/>
      <c r="BO27" s="225"/>
      <c r="BP27" s="226"/>
      <c r="BQ27" s="18"/>
      <c r="BR27" s="224" t="str">
        <f>'Display Map'!S14</f>
        <v/>
      </c>
      <c r="BS27" s="225"/>
      <c r="BT27" s="225"/>
      <c r="BU27" s="226"/>
      <c r="BV27" s="18"/>
      <c r="BW27" s="224" t="str">
        <f>'Display Map'!T14</f>
        <v/>
      </c>
      <c r="BX27" s="225"/>
      <c r="BY27" s="225"/>
      <c r="BZ27" s="226"/>
      <c r="CA27" s="18"/>
      <c r="CB27" s="224" t="str">
        <f>'Display Map'!U14</f>
        <v/>
      </c>
      <c r="CC27" s="225"/>
      <c r="CD27" s="225"/>
      <c r="CE27" s="226"/>
      <c r="CF27" s="18"/>
      <c r="CG27" s="224" t="str">
        <f>'Display Map'!V14</f>
        <v/>
      </c>
      <c r="CH27" s="225"/>
      <c r="CI27" s="225"/>
      <c r="CJ27" s="226"/>
      <c r="CK27" s="18"/>
      <c r="CL27" s="224" t="str">
        <f>'Display Map'!W14</f>
        <v/>
      </c>
      <c r="CM27" s="225"/>
      <c r="CN27" s="225"/>
      <c r="CO27" s="226"/>
      <c r="CP27" s="18"/>
      <c r="CQ27" s="29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</row>
    <row r="28" spans="1:106" ht="15" customHeight="1" thickBot="1" x14ac:dyDescent="0.3">
      <c r="A28" s="18"/>
      <c r="B28" s="18"/>
      <c r="C28" s="18"/>
      <c r="D28" s="232"/>
      <c r="E28" s="233"/>
      <c r="F28" s="18"/>
      <c r="G28" s="122"/>
      <c r="H28" s="123"/>
      <c r="I28" s="220" t="b">
        <f>Selections!I6</f>
        <v>0</v>
      </c>
      <c r="J28" s="221"/>
      <c r="K28" s="18"/>
      <c r="L28" s="18"/>
      <c r="M28" s="18"/>
      <c r="N28" s="220" t="b">
        <f>Selections!I10</f>
        <v>0</v>
      </c>
      <c r="O28" s="221"/>
      <c r="P28" s="18"/>
      <c r="Q28" s="18"/>
      <c r="R28" s="18"/>
      <c r="S28" s="18"/>
      <c r="T28" s="18"/>
      <c r="U28" s="18"/>
      <c r="V28" s="222"/>
      <c r="W28" s="223"/>
      <c r="X28" s="227"/>
      <c r="Y28" s="228"/>
      <c r="Z28" s="228"/>
      <c r="AA28" s="229"/>
      <c r="AB28" s="18"/>
      <c r="AC28" s="18"/>
      <c r="AD28" s="227"/>
      <c r="AE28" s="228"/>
      <c r="AF28" s="228"/>
      <c r="AG28" s="229"/>
      <c r="AH28" s="18"/>
      <c r="AI28" s="227"/>
      <c r="AJ28" s="228"/>
      <c r="AK28" s="228"/>
      <c r="AL28" s="229"/>
      <c r="AM28" s="18"/>
      <c r="AN28" s="227"/>
      <c r="AO28" s="228"/>
      <c r="AP28" s="228"/>
      <c r="AQ28" s="229"/>
      <c r="AR28" s="18"/>
      <c r="AS28" s="227"/>
      <c r="AT28" s="228"/>
      <c r="AU28" s="228"/>
      <c r="AV28" s="229"/>
      <c r="AW28" s="18"/>
      <c r="AX28" s="227"/>
      <c r="AY28" s="228"/>
      <c r="AZ28" s="228"/>
      <c r="BA28" s="229"/>
      <c r="BB28" s="18"/>
      <c r="BC28" s="227"/>
      <c r="BD28" s="228"/>
      <c r="BE28" s="228"/>
      <c r="BF28" s="229"/>
      <c r="BG28" s="18"/>
      <c r="BH28" s="227"/>
      <c r="BI28" s="228"/>
      <c r="BJ28" s="228"/>
      <c r="BK28" s="229"/>
      <c r="BL28" s="18"/>
      <c r="BM28" s="227"/>
      <c r="BN28" s="228"/>
      <c r="BO28" s="228"/>
      <c r="BP28" s="229"/>
      <c r="BQ28" s="18"/>
      <c r="BR28" s="227"/>
      <c r="BS28" s="228"/>
      <c r="BT28" s="228"/>
      <c r="BU28" s="229"/>
      <c r="BV28" s="18"/>
      <c r="BW28" s="227"/>
      <c r="BX28" s="228"/>
      <c r="BY28" s="228"/>
      <c r="BZ28" s="229"/>
      <c r="CA28" s="18"/>
      <c r="CB28" s="227"/>
      <c r="CC28" s="228"/>
      <c r="CD28" s="228"/>
      <c r="CE28" s="229"/>
      <c r="CF28" s="18"/>
      <c r="CG28" s="227"/>
      <c r="CH28" s="228"/>
      <c r="CI28" s="228"/>
      <c r="CJ28" s="229"/>
      <c r="CK28" s="18"/>
      <c r="CL28" s="227"/>
      <c r="CM28" s="228"/>
      <c r="CN28" s="228"/>
      <c r="CO28" s="229"/>
      <c r="CP28" s="18"/>
      <c r="CQ28" s="29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</row>
    <row r="29" spans="1:106" ht="15" customHeight="1" thickBot="1" x14ac:dyDescent="0.3">
      <c r="A29" s="18"/>
      <c r="B29" s="18"/>
      <c r="C29" s="18"/>
      <c r="D29" s="232"/>
      <c r="E29" s="233"/>
      <c r="F29" s="18"/>
      <c r="G29" s="18"/>
      <c r="H29" s="18"/>
      <c r="I29" s="222"/>
      <c r="J29" s="223"/>
      <c r="K29" s="18"/>
      <c r="L29" s="18"/>
      <c r="M29" s="18"/>
      <c r="N29" s="222"/>
      <c r="O29" s="223"/>
      <c r="P29" s="18"/>
      <c r="Q29" s="18"/>
      <c r="R29" s="18"/>
      <c r="S29" s="18"/>
      <c r="T29" s="18"/>
      <c r="U29" s="18"/>
      <c r="V29" s="220" t="b">
        <f>Selections!U15</f>
        <v>0</v>
      </c>
      <c r="W29" s="221"/>
      <c r="X29" s="224" t="str">
        <f>'Display Map'!G15</f>
        <v/>
      </c>
      <c r="Y29" s="225"/>
      <c r="Z29" s="225"/>
      <c r="AA29" s="226"/>
      <c r="AB29" s="18"/>
      <c r="AC29" s="18"/>
      <c r="AD29" s="224" t="str">
        <f>'Display Map'!K15</f>
        <v/>
      </c>
      <c r="AE29" s="225"/>
      <c r="AF29" s="225"/>
      <c r="AG29" s="226"/>
      <c r="AH29" s="18"/>
      <c r="AI29" s="224" t="str">
        <f>'Display Map'!L15</f>
        <v/>
      </c>
      <c r="AJ29" s="225"/>
      <c r="AK29" s="225"/>
      <c r="AL29" s="226"/>
      <c r="AM29" s="18"/>
      <c r="AN29" s="224" t="str">
        <f>'Display Map'!M15</f>
        <v/>
      </c>
      <c r="AO29" s="225"/>
      <c r="AP29" s="225"/>
      <c r="AQ29" s="226"/>
      <c r="AR29" s="18"/>
      <c r="AS29" s="224" t="str">
        <f>'Display Map'!N15</f>
        <v/>
      </c>
      <c r="AT29" s="225"/>
      <c r="AU29" s="225"/>
      <c r="AV29" s="226"/>
      <c r="AW29" s="18"/>
      <c r="AX29" s="224" t="str">
        <f>'Display Map'!O15</f>
        <v/>
      </c>
      <c r="AY29" s="225"/>
      <c r="AZ29" s="225"/>
      <c r="BA29" s="226"/>
      <c r="BB29" s="18"/>
      <c r="BC29" s="224" t="str">
        <f>'Display Map'!P15</f>
        <v/>
      </c>
      <c r="BD29" s="225"/>
      <c r="BE29" s="225"/>
      <c r="BF29" s="226"/>
      <c r="BG29" s="18"/>
      <c r="BH29" s="224" t="str">
        <f>'Display Map'!Q15</f>
        <v/>
      </c>
      <c r="BI29" s="225"/>
      <c r="BJ29" s="225"/>
      <c r="BK29" s="226"/>
      <c r="BL29" s="18"/>
      <c r="BM29" s="224" t="str">
        <f>'Display Map'!R15</f>
        <v/>
      </c>
      <c r="BN29" s="225"/>
      <c r="BO29" s="225"/>
      <c r="BP29" s="226"/>
      <c r="BQ29" s="18"/>
      <c r="BR29" s="224" t="str">
        <f>'Display Map'!S15</f>
        <v/>
      </c>
      <c r="BS29" s="225"/>
      <c r="BT29" s="225"/>
      <c r="BU29" s="226"/>
      <c r="BV29" s="18"/>
      <c r="BW29" s="224" t="str">
        <f>'Display Map'!T15</f>
        <v/>
      </c>
      <c r="BX29" s="225"/>
      <c r="BY29" s="225"/>
      <c r="BZ29" s="226"/>
      <c r="CA29" s="18"/>
      <c r="CB29" s="224" t="str">
        <f>'Display Map'!U15</f>
        <v/>
      </c>
      <c r="CC29" s="225"/>
      <c r="CD29" s="225"/>
      <c r="CE29" s="226"/>
      <c r="CF29" s="18"/>
      <c r="CG29" s="224" t="str">
        <f>'Display Map'!V15</f>
        <v/>
      </c>
      <c r="CH29" s="225"/>
      <c r="CI29" s="225"/>
      <c r="CJ29" s="226"/>
      <c r="CK29" s="18"/>
      <c r="CL29" s="224" t="str">
        <f>'Display Map'!W15</f>
        <v/>
      </c>
      <c r="CM29" s="225"/>
      <c r="CN29" s="225"/>
      <c r="CO29" s="226"/>
      <c r="CP29" s="18"/>
      <c r="CQ29" s="29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</row>
    <row r="30" spans="1:106" ht="15" customHeight="1" thickBot="1" x14ac:dyDescent="0.3">
      <c r="A30" s="18"/>
      <c r="B30" s="18"/>
      <c r="C30" s="18"/>
      <c r="D30" s="232"/>
      <c r="E30" s="233"/>
      <c r="F30" s="18"/>
      <c r="G30" s="18"/>
      <c r="H30" s="18"/>
      <c r="I30" s="220"/>
      <c r="J30" s="221"/>
      <c r="K30" s="18"/>
      <c r="L30" s="124"/>
      <c r="M30" s="124"/>
      <c r="N30" s="220"/>
      <c r="O30" s="221"/>
      <c r="P30" s="18"/>
      <c r="Q30" s="18"/>
      <c r="R30" s="18"/>
      <c r="S30" s="18"/>
      <c r="T30" s="18"/>
      <c r="U30" s="18"/>
      <c r="V30" s="222"/>
      <c r="W30" s="223"/>
      <c r="X30" s="227"/>
      <c r="Y30" s="228"/>
      <c r="Z30" s="228"/>
      <c r="AA30" s="229"/>
      <c r="AB30" s="18"/>
      <c r="AC30" s="18"/>
      <c r="AD30" s="227"/>
      <c r="AE30" s="228"/>
      <c r="AF30" s="228"/>
      <c r="AG30" s="229"/>
      <c r="AH30" s="18"/>
      <c r="AI30" s="227"/>
      <c r="AJ30" s="228"/>
      <c r="AK30" s="228"/>
      <c r="AL30" s="229"/>
      <c r="AM30" s="18"/>
      <c r="AN30" s="227"/>
      <c r="AO30" s="228"/>
      <c r="AP30" s="228"/>
      <c r="AQ30" s="229"/>
      <c r="AR30" s="18"/>
      <c r="AS30" s="227"/>
      <c r="AT30" s="228"/>
      <c r="AU30" s="228"/>
      <c r="AV30" s="229"/>
      <c r="AW30" s="18"/>
      <c r="AX30" s="227"/>
      <c r="AY30" s="228"/>
      <c r="AZ30" s="228"/>
      <c r="BA30" s="229"/>
      <c r="BB30" s="18"/>
      <c r="BC30" s="227"/>
      <c r="BD30" s="228"/>
      <c r="BE30" s="228"/>
      <c r="BF30" s="229"/>
      <c r="BG30" s="18"/>
      <c r="BH30" s="227"/>
      <c r="BI30" s="228"/>
      <c r="BJ30" s="228"/>
      <c r="BK30" s="229"/>
      <c r="BL30" s="18"/>
      <c r="BM30" s="227"/>
      <c r="BN30" s="228"/>
      <c r="BO30" s="228"/>
      <c r="BP30" s="229"/>
      <c r="BQ30" s="18"/>
      <c r="BR30" s="227"/>
      <c r="BS30" s="228"/>
      <c r="BT30" s="228"/>
      <c r="BU30" s="229"/>
      <c r="BV30" s="18"/>
      <c r="BW30" s="227"/>
      <c r="BX30" s="228"/>
      <c r="BY30" s="228"/>
      <c r="BZ30" s="229"/>
      <c r="CA30" s="18"/>
      <c r="CB30" s="227"/>
      <c r="CC30" s="228"/>
      <c r="CD30" s="228"/>
      <c r="CE30" s="229"/>
      <c r="CF30" s="18"/>
      <c r="CG30" s="227"/>
      <c r="CH30" s="228"/>
      <c r="CI30" s="228"/>
      <c r="CJ30" s="229"/>
      <c r="CK30" s="18"/>
      <c r="CL30" s="227"/>
      <c r="CM30" s="228"/>
      <c r="CN30" s="228"/>
      <c r="CO30" s="229"/>
      <c r="CP30" s="18"/>
      <c r="CQ30" s="29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</row>
    <row r="31" spans="1:106" ht="15" customHeight="1" thickBot="1" x14ac:dyDescent="0.3">
      <c r="A31" s="18"/>
      <c r="B31" s="18"/>
      <c r="C31" s="18"/>
      <c r="D31" s="234"/>
      <c r="E31" s="235"/>
      <c r="F31" s="18"/>
      <c r="G31" s="18"/>
      <c r="H31" s="18"/>
      <c r="I31" s="222"/>
      <c r="J31" s="223"/>
      <c r="K31" s="18"/>
      <c r="L31" s="124"/>
      <c r="M31" s="124"/>
      <c r="N31" s="222"/>
      <c r="O31" s="223"/>
      <c r="P31" s="18"/>
      <c r="Q31" s="18"/>
      <c r="R31" s="18"/>
      <c r="S31" s="18"/>
      <c r="T31" s="18"/>
      <c r="U31" s="18"/>
      <c r="V31" s="220" t="b">
        <f>Selections!U16</f>
        <v>0</v>
      </c>
      <c r="W31" s="221"/>
      <c r="X31" s="224" t="str">
        <f>'Display Map'!G16</f>
        <v/>
      </c>
      <c r="Y31" s="225"/>
      <c r="Z31" s="225"/>
      <c r="AA31" s="226"/>
      <c r="AB31" s="18"/>
      <c r="AC31" s="18"/>
      <c r="AD31" s="224" t="str">
        <f>'Display Map'!K16</f>
        <v/>
      </c>
      <c r="AE31" s="225"/>
      <c r="AF31" s="225"/>
      <c r="AG31" s="226"/>
      <c r="AH31" s="18"/>
      <c r="AI31" s="224" t="str">
        <f>'Display Map'!L16</f>
        <v/>
      </c>
      <c r="AJ31" s="225"/>
      <c r="AK31" s="225"/>
      <c r="AL31" s="226"/>
      <c r="AM31" s="18"/>
      <c r="AN31" s="224" t="str">
        <f>'Display Map'!M16</f>
        <v/>
      </c>
      <c r="AO31" s="225"/>
      <c r="AP31" s="225"/>
      <c r="AQ31" s="226"/>
      <c r="AR31" s="18"/>
      <c r="AS31" s="224" t="str">
        <f>'Display Map'!N16</f>
        <v/>
      </c>
      <c r="AT31" s="225"/>
      <c r="AU31" s="225"/>
      <c r="AV31" s="226"/>
      <c r="AW31" s="18"/>
      <c r="AX31" s="224" t="str">
        <f>'Display Map'!O16</f>
        <v/>
      </c>
      <c r="AY31" s="225"/>
      <c r="AZ31" s="225"/>
      <c r="BA31" s="226"/>
      <c r="BB31" s="18"/>
      <c r="BC31" s="224" t="str">
        <f>'Display Map'!P16</f>
        <v/>
      </c>
      <c r="BD31" s="225"/>
      <c r="BE31" s="225"/>
      <c r="BF31" s="226"/>
      <c r="BG31" s="18"/>
      <c r="BH31" s="224" t="str">
        <f>'Display Map'!Q16</f>
        <v/>
      </c>
      <c r="BI31" s="225"/>
      <c r="BJ31" s="225"/>
      <c r="BK31" s="226"/>
      <c r="BL31" s="18"/>
      <c r="BM31" s="224" t="str">
        <f>'Display Map'!R16</f>
        <v/>
      </c>
      <c r="BN31" s="225"/>
      <c r="BO31" s="225"/>
      <c r="BP31" s="226"/>
      <c r="BQ31" s="18"/>
      <c r="BR31" s="224" t="str">
        <f>'Display Map'!S16</f>
        <v/>
      </c>
      <c r="BS31" s="225"/>
      <c r="BT31" s="225"/>
      <c r="BU31" s="226"/>
      <c r="BV31" s="18"/>
      <c r="BW31" s="224" t="str">
        <f>'Display Map'!T16</f>
        <v/>
      </c>
      <c r="BX31" s="225"/>
      <c r="BY31" s="225"/>
      <c r="BZ31" s="226"/>
      <c r="CA31" s="18"/>
      <c r="CB31" s="224" t="str">
        <f>'Display Map'!U16</f>
        <v/>
      </c>
      <c r="CC31" s="225"/>
      <c r="CD31" s="225"/>
      <c r="CE31" s="226"/>
      <c r="CF31" s="18"/>
      <c r="CG31" s="224" t="str">
        <f>'Display Map'!V16</f>
        <v/>
      </c>
      <c r="CH31" s="225"/>
      <c r="CI31" s="225"/>
      <c r="CJ31" s="226"/>
      <c r="CK31" s="18"/>
      <c r="CL31" s="224" t="str">
        <f>'Display Map'!W16</f>
        <v/>
      </c>
      <c r="CM31" s="225"/>
      <c r="CN31" s="225"/>
      <c r="CO31" s="226"/>
      <c r="CP31" s="18"/>
      <c r="CQ31" s="29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</row>
    <row r="32" spans="1:106" ht="15" customHeight="1" thickBot="1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222"/>
      <c r="W32" s="223"/>
      <c r="X32" s="227"/>
      <c r="Y32" s="228"/>
      <c r="Z32" s="228"/>
      <c r="AA32" s="229"/>
      <c r="AB32" s="18"/>
      <c r="AC32" s="18"/>
      <c r="AD32" s="227"/>
      <c r="AE32" s="228"/>
      <c r="AF32" s="228"/>
      <c r="AG32" s="229"/>
      <c r="AH32" s="18"/>
      <c r="AI32" s="227"/>
      <c r="AJ32" s="228"/>
      <c r="AK32" s="228"/>
      <c r="AL32" s="229"/>
      <c r="AM32" s="18"/>
      <c r="AN32" s="227"/>
      <c r="AO32" s="228"/>
      <c r="AP32" s="228"/>
      <c r="AQ32" s="229"/>
      <c r="AR32" s="18"/>
      <c r="AS32" s="227"/>
      <c r="AT32" s="228"/>
      <c r="AU32" s="228"/>
      <c r="AV32" s="229"/>
      <c r="AW32" s="18"/>
      <c r="AX32" s="227"/>
      <c r="AY32" s="228"/>
      <c r="AZ32" s="228"/>
      <c r="BA32" s="229"/>
      <c r="BB32" s="18"/>
      <c r="BC32" s="227"/>
      <c r="BD32" s="228"/>
      <c r="BE32" s="228"/>
      <c r="BF32" s="229"/>
      <c r="BG32" s="18"/>
      <c r="BH32" s="227"/>
      <c r="BI32" s="228"/>
      <c r="BJ32" s="228"/>
      <c r="BK32" s="229"/>
      <c r="BL32" s="18"/>
      <c r="BM32" s="227"/>
      <c r="BN32" s="228"/>
      <c r="BO32" s="228"/>
      <c r="BP32" s="229"/>
      <c r="BQ32" s="18"/>
      <c r="BR32" s="227"/>
      <c r="BS32" s="228"/>
      <c r="BT32" s="228"/>
      <c r="BU32" s="229"/>
      <c r="BV32" s="18"/>
      <c r="BW32" s="227"/>
      <c r="BX32" s="228"/>
      <c r="BY32" s="228"/>
      <c r="BZ32" s="229"/>
      <c r="CA32" s="18"/>
      <c r="CB32" s="227"/>
      <c r="CC32" s="228"/>
      <c r="CD32" s="228"/>
      <c r="CE32" s="229"/>
      <c r="CF32" s="18"/>
      <c r="CG32" s="227"/>
      <c r="CH32" s="228"/>
      <c r="CI32" s="228"/>
      <c r="CJ32" s="229"/>
      <c r="CK32" s="18"/>
      <c r="CL32" s="227"/>
      <c r="CM32" s="228"/>
      <c r="CN32" s="228"/>
      <c r="CO32" s="229"/>
      <c r="CP32" s="18"/>
      <c r="CQ32" s="29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</row>
    <row r="33" spans="1:106" ht="15" customHeight="1" thickBot="1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48"/>
      <c r="M33" s="49"/>
      <c r="N33" s="49"/>
      <c r="O33" s="50"/>
      <c r="P33" s="18"/>
      <c r="Q33" s="18"/>
      <c r="R33" s="18"/>
      <c r="S33" s="18"/>
      <c r="T33" s="18"/>
      <c r="U33" s="18"/>
      <c r="V33" s="220" t="b">
        <f>Selections!U17</f>
        <v>0</v>
      </c>
      <c r="W33" s="221"/>
      <c r="X33" s="224" t="str">
        <f>'Display Map'!G17</f>
        <v/>
      </c>
      <c r="Y33" s="225"/>
      <c r="Z33" s="225"/>
      <c r="AA33" s="226"/>
      <c r="AB33" s="18"/>
      <c r="AC33" s="18"/>
      <c r="AD33" s="224" t="str">
        <f>'Display Map'!K17</f>
        <v/>
      </c>
      <c r="AE33" s="225"/>
      <c r="AF33" s="225"/>
      <c r="AG33" s="226"/>
      <c r="AH33" s="18"/>
      <c r="AI33" s="224" t="str">
        <f>'Display Map'!L17</f>
        <v/>
      </c>
      <c r="AJ33" s="225"/>
      <c r="AK33" s="225"/>
      <c r="AL33" s="226"/>
      <c r="AM33" s="18"/>
      <c r="AN33" s="224" t="str">
        <f>'Display Map'!M17</f>
        <v/>
      </c>
      <c r="AO33" s="225"/>
      <c r="AP33" s="225"/>
      <c r="AQ33" s="226"/>
      <c r="AR33" s="18"/>
      <c r="AS33" s="224" t="str">
        <f>'Display Map'!N17</f>
        <v/>
      </c>
      <c r="AT33" s="225"/>
      <c r="AU33" s="225"/>
      <c r="AV33" s="226"/>
      <c r="AW33" s="18"/>
      <c r="AX33" s="224" t="str">
        <f>'Display Map'!O17</f>
        <v/>
      </c>
      <c r="AY33" s="225"/>
      <c r="AZ33" s="225"/>
      <c r="BA33" s="226"/>
      <c r="BB33" s="18"/>
      <c r="BC33" s="224" t="str">
        <f>'Display Map'!P17</f>
        <v/>
      </c>
      <c r="BD33" s="225"/>
      <c r="BE33" s="225"/>
      <c r="BF33" s="226"/>
      <c r="BG33" s="18"/>
      <c r="BH33" s="224" t="str">
        <f>'Display Map'!Q17</f>
        <v/>
      </c>
      <c r="BI33" s="225"/>
      <c r="BJ33" s="225"/>
      <c r="BK33" s="226"/>
      <c r="BL33" s="18"/>
      <c r="BM33" s="224" t="str">
        <f>'Display Map'!R17</f>
        <v/>
      </c>
      <c r="BN33" s="225"/>
      <c r="BO33" s="225"/>
      <c r="BP33" s="226"/>
      <c r="BQ33" s="18"/>
      <c r="BR33" s="224" t="str">
        <f>'Display Map'!S17</f>
        <v/>
      </c>
      <c r="BS33" s="225"/>
      <c r="BT33" s="225"/>
      <c r="BU33" s="226"/>
      <c r="BV33" s="18"/>
      <c r="BW33" s="224" t="str">
        <f>'Display Map'!T17</f>
        <v/>
      </c>
      <c r="BX33" s="225"/>
      <c r="BY33" s="225"/>
      <c r="BZ33" s="226"/>
      <c r="CA33" s="18"/>
      <c r="CB33" s="224" t="str">
        <f>'Display Map'!U17</f>
        <v/>
      </c>
      <c r="CC33" s="225"/>
      <c r="CD33" s="225"/>
      <c r="CE33" s="226"/>
      <c r="CF33" s="18"/>
      <c r="CG33" s="224" t="str">
        <f>'Display Map'!V17</f>
        <v/>
      </c>
      <c r="CH33" s="225"/>
      <c r="CI33" s="225"/>
      <c r="CJ33" s="226"/>
      <c r="CK33" s="18"/>
      <c r="CL33" s="224" t="str">
        <f>'Display Map'!W17</f>
        <v/>
      </c>
      <c r="CM33" s="225"/>
      <c r="CN33" s="225"/>
      <c r="CO33" s="226"/>
      <c r="CP33" s="18"/>
      <c r="CQ33" s="29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</row>
    <row r="34" spans="1:106" ht="15" customHeight="1" thickBot="1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51"/>
      <c r="M34" s="216">
        <f>COUNTA(Tables!$H$2:$H$51)</f>
        <v>23</v>
      </c>
      <c r="N34" s="217"/>
      <c r="O34" s="52"/>
      <c r="P34" s="18"/>
      <c r="Q34" s="18"/>
      <c r="R34" s="18"/>
      <c r="S34" s="18"/>
      <c r="T34" s="18"/>
      <c r="U34" s="18"/>
      <c r="V34" s="222"/>
      <c r="W34" s="223"/>
      <c r="X34" s="227"/>
      <c r="Y34" s="228"/>
      <c r="Z34" s="228"/>
      <c r="AA34" s="229"/>
      <c r="AB34" s="18"/>
      <c r="AC34" s="18"/>
      <c r="AD34" s="227"/>
      <c r="AE34" s="228"/>
      <c r="AF34" s="228"/>
      <c r="AG34" s="229"/>
      <c r="AH34" s="18"/>
      <c r="AI34" s="227"/>
      <c r="AJ34" s="228"/>
      <c r="AK34" s="228"/>
      <c r="AL34" s="229"/>
      <c r="AM34" s="18"/>
      <c r="AN34" s="227"/>
      <c r="AO34" s="228"/>
      <c r="AP34" s="228"/>
      <c r="AQ34" s="229"/>
      <c r="AR34" s="18"/>
      <c r="AS34" s="227"/>
      <c r="AT34" s="228"/>
      <c r="AU34" s="228"/>
      <c r="AV34" s="229"/>
      <c r="AW34" s="18"/>
      <c r="AX34" s="227"/>
      <c r="AY34" s="228"/>
      <c r="AZ34" s="228"/>
      <c r="BA34" s="229"/>
      <c r="BB34" s="18"/>
      <c r="BC34" s="227"/>
      <c r="BD34" s="228"/>
      <c r="BE34" s="228"/>
      <c r="BF34" s="229"/>
      <c r="BG34" s="18"/>
      <c r="BH34" s="227"/>
      <c r="BI34" s="228"/>
      <c r="BJ34" s="228"/>
      <c r="BK34" s="229"/>
      <c r="BL34" s="18"/>
      <c r="BM34" s="227"/>
      <c r="BN34" s="228"/>
      <c r="BO34" s="228"/>
      <c r="BP34" s="229"/>
      <c r="BQ34" s="18"/>
      <c r="BR34" s="227"/>
      <c r="BS34" s="228"/>
      <c r="BT34" s="228"/>
      <c r="BU34" s="229"/>
      <c r="BV34" s="18"/>
      <c r="BW34" s="227"/>
      <c r="BX34" s="228"/>
      <c r="BY34" s="228"/>
      <c r="BZ34" s="229"/>
      <c r="CA34" s="18"/>
      <c r="CB34" s="227"/>
      <c r="CC34" s="228"/>
      <c r="CD34" s="228"/>
      <c r="CE34" s="229"/>
      <c r="CF34" s="18"/>
      <c r="CG34" s="227"/>
      <c r="CH34" s="228"/>
      <c r="CI34" s="228"/>
      <c r="CJ34" s="229"/>
      <c r="CK34" s="18"/>
      <c r="CL34" s="227"/>
      <c r="CM34" s="228"/>
      <c r="CN34" s="228"/>
      <c r="CO34" s="229"/>
      <c r="CP34" s="18"/>
      <c r="CQ34" s="29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</row>
    <row r="35" spans="1:106" ht="15" customHeight="1" thickBot="1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51"/>
      <c r="M35" s="218"/>
      <c r="N35" s="219"/>
      <c r="O35" s="52"/>
      <c r="P35" s="18"/>
      <c r="Q35" s="18"/>
      <c r="R35" s="18"/>
      <c r="S35" s="18"/>
      <c r="T35" s="18"/>
      <c r="U35" s="18"/>
      <c r="V35" s="220" t="b">
        <f>Selections!U18</f>
        <v>0</v>
      </c>
      <c r="W35" s="221"/>
      <c r="X35" s="224" t="str">
        <f>'Display Map'!G18</f>
        <v/>
      </c>
      <c r="Y35" s="225"/>
      <c r="Z35" s="225"/>
      <c r="AA35" s="226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29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</row>
    <row r="36" spans="1:106" ht="15" customHeight="1" thickBot="1" x14ac:dyDescent="0.3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53"/>
      <c r="M36" s="54"/>
      <c r="N36" s="54"/>
      <c r="O36" s="55"/>
      <c r="P36" s="18"/>
      <c r="Q36" s="18"/>
      <c r="R36" s="18"/>
      <c r="S36" s="18"/>
      <c r="T36" s="18"/>
      <c r="U36" s="18"/>
      <c r="V36" s="222"/>
      <c r="W36" s="223"/>
      <c r="X36" s="227"/>
      <c r="Y36" s="228"/>
      <c r="Z36" s="228"/>
      <c r="AA36" s="229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29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</row>
    <row r="37" spans="1:106" ht="15" customHeight="1" thickBot="1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260" t="b">
        <f>Selections!AG3</f>
        <v>0</v>
      </c>
      <c r="AE37" s="261"/>
      <c r="AF37" s="261"/>
      <c r="AG37" s="262"/>
      <c r="AH37" s="18"/>
      <c r="AI37" s="260" t="b">
        <f>Selections!AG4</f>
        <v>0</v>
      </c>
      <c r="AJ37" s="261"/>
      <c r="AK37" s="261"/>
      <c r="AL37" s="262"/>
      <c r="AM37" s="18"/>
      <c r="AN37" s="260" t="b">
        <f>Selections!AG5</f>
        <v>0</v>
      </c>
      <c r="AO37" s="261"/>
      <c r="AP37" s="261"/>
      <c r="AQ37" s="262"/>
      <c r="AR37" s="18"/>
      <c r="AS37" s="260" t="b">
        <f>Selections!AG6</f>
        <v>0</v>
      </c>
      <c r="AT37" s="261"/>
      <c r="AU37" s="261"/>
      <c r="AV37" s="262"/>
      <c r="AW37" s="18"/>
      <c r="AX37" s="260" t="b">
        <f>Selections!AG7</f>
        <v>0</v>
      </c>
      <c r="AY37" s="261"/>
      <c r="AZ37" s="261"/>
      <c r="BA37" s="262"/>
      <c r="BB37" s="18"/>
      <c r="BC37" s="260" t="b">
        <f>Selections!AG8</f>
        <v>0</v>
      </c>
      <c r="BD37" s="261"/>
      <c r="BE37" s="261"/>
      <c r="BF37" s="262"/>
      <c r="BG37" s="18"/>
      <c r="BH37" s="260" t="b">
        <f>Selections!AG9</f>
        <v>0</v>
      </c>
      <c r="BI37" s="261"/>
      <c r="BJ37" s="261"/>
      <c r="BK37" s="262"/>
      <c r="BL37" s="18"/>
      <c r="BM37" s="260" t="b">
        <f>Selections!AG10</f>
        <v>0</v>
      </c>
      <c r="BN37" s="261"/>
      <c r="BO37" s="261"/>
      <c r="BP37" s="262"/>
      <c r="BQ37" s="18"/>
      <c r="BR37" s="260" t="b">
        <f>Selections!AG11</f>
        <v>0</v>
      </c>
      <c r="BS37" s="261"/>
      <c r="BT37" s="261"/>
      <c r="BU37" s="262"/>
      <c r="BV37" s="18"/>
      <c r="BW37" s="260" t="b">
        <f>Selections!AG12</f>
        <v>0</v>
      </c>
      <c r="BX37" s="261"/>
      <c r="BY37" s="261"/>
      <c r="BZ37" s="262"/>
      <c r="CA37" s="18"/>
      <c r="CB37" s="260" t="b">
        <f>Selections!AG13</f>
        <v>0</v>
      </c>
      <c r="CC37" s="261"/>
      <c r="CD37" s="261"/>
      <c r="CE37" s="262"/>
      <c r="CF37" s="18"/>
      <c r="CG37" s="260" t="b">
        <f>Selections!AG14</f>
        <v>0</v>
      </c>
      <c r="CH37" s="261"/>
      <c r="CI37" s="261"/>
      <c r="CJ37" s="262"/>
      <c r="CK37" s="18"/>
      <c r="CL37" s="260" t="b">
        <f>Selections!AG15</f>
        <v>0</v>
      </c>
      <c r="CM37" s="261"/>
      <c r="CN37" s="261"/>
      <c r="CO37" s="262"/>
      <c r="CP37" s="18"/>
      <c r="CQ37" s="31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</row>
    <row r="38" spans="1:106" ht="15" customHeight="1" thickBot="1" x14ac:dyDescent="0.3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263"/>
      <c r="AE38" s="264"/>
      <c r="AF38" s="264"/>
      <c r="AG38" s="265"/>
      <c r="AH38" s="18"/>
      <c r="AI38" s="263"/>
      <c r="AJ38" s="264"/>
      <c r="AK38" s="264"/>
      <c r="AL38" s="265"/>
      <c r="AM38" s="18"/>
      <c r="AN38" s="263"/>
      <c r="AO38" s="264"/>
      <c r="AP38" s="264"/>
      <c r="AQ38" s="265"/>
      <c r="AR38" s="18"/>
      <c r="AS38" s="263"/>
      <c r="AT38" s="264"/>
      <c r="AU38" s="264"/>
      <c r="AV38" s="265"/>
      <c r="AW38" s="18"/>
      <c r="AX38" s="263"/>
      <c r="AY38" s="264"/>
      <c r="AZ38" s="264"/>
      <c r="BA38" s="265"/>
      <c r="BB38" s="18"/>
      <c r="BC38" s="263"/>
      <c r="BD38" s="264"/>
      <c r="BE38" s="264"/>
      <c r="BF38" s="265"/>
      <c r="BG38" s="18"/>
      <c r="BH38" s="263"/>
      <c r="BI38" s="264"/>
      <c r="BJ38" s="264"/>
      <c r="BK38" s="265"/>
      <c r="BL38" s="18"/>
      <c r="BM38" s="263"/>
      <c r="BN38" s="264"/>
      <c r="BO38" s="264"/>
      <c r="BP38" s="265"/>
      <c r="BQ38" s="18"/>
      <c r="BR38" s="263"/>
      <c r="BS38" s="264"/>
      <c r="BT38" s="264"/>
      <c r="BU38" s="265"/>
      <c r="BV38" s="18"/>
      <c r="BW38" s="263"/>
      <c r="BX38" s="264"/>
      <c r="BY38" s="264"/>
      <c r="BZ38" s="265"/>
      <c r="CA38" s="18"/>
      <c r="CB38" s="263"/>
      <c r="CC38" s="264"/>
      <c r="CD38" s="264"/>
      <c r="CE38" s="265"/>
      <c r="CF38" s="18"/>
      <c r="CG38" s="263"/>
      <c r="CH38" s="264"/>
      <c r="CI38" s="264"/>
      <c r="CJ38" s="265"/>
      <c r="CK38" s="18"/>
      <c r="CL38" s="263"/>
      <c r="CM38" s="264"/>
      <c r="CN38" s="264"/>
      <c r="CO38" s="265"/>
      <c r="CP38" s="18"/>
      <c r="CQ38" s="31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</row>
    <row r="39" spans="1:106" ht="15" customHeight="1" thickBot="1" x14ac:dyDescent="0.3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31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</row>
    <row r="40" spans="1:106" ht="15" customHeight="1" thickBot="1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29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</row>
    <row r="41" spans="1:106" ht="15" customHeight="1" thickBot="1" x14ac:dyDescent="0.3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29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</row>
    <row r="42" spans="1:106" ht="15" customHeight="1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</row>
    <row r="43" spans="1:106" ht="15" customHeight="1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</row>
    <row r="44" spans="1:106" ht="15" customHeight="1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</row>
    <row r="45" spans="1:106" ht="15" customHeight="1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</row>
    <row r="46" spans="1:106" ht="15" customHeight="1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</row>
    <row r="47" spans="1:106" ht="15" customHeight="1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</row>
    <row r="48" spans="1:106" ht="15" customHeight="1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</row>
    <row r="49" spans="1:106" ht="15" customHeight="1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</row>
    <row r="50" spans="1:106" ht="15" customHeight="1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</row>
    <row r="51" spans="1:106" ht="15" customHeight="1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</row>
    <row r="52" spans="1:106" ht="15" customHeight="1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</row>
    <row r="53" spans="1:106" ht="15" customHeight="1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</row>
    <row r="54" spans="1:106" ht="15" customHeight="1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</row>
    <row r="55" spans="1:106" ht="15" customHeight="1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</row>
    <row r="56" spans="1:106" ht="15" customHeight="1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</row>
    <row r="57" spans="1:106" ht="15" customHeight="1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</row>
    <row r="58" spans="1:106" ht="15" customHeight="1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</row>
    <row r="59" spans="1:106" ht="15" customHeight="1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</row>
    <row r="60" spans="1:106" ht="15" customHeight="1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</row>
    <row r="61" spans="1:106" ht="15" customHeight="1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</row>
    <row r="62" spans="1:106" ht="15" customHeight="1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</row>
    <row r="63" spans="1:106" ht="15" customHeight="1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</row>
    <row r="64" spans="1:106" ht="15" customHeight="1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</row>
    <row r="65" spans="1:106" ht="15" customHeight="1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</row>
    <row r="66" spans="1:106" ht="15" customHeight="1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</row>
    <row r="67" spans="1:106" ht="15" customHeight="1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</row>
    <row r="68" spans="1:106" ht="15" customHeight="1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</row>
    <row r="69" spans="1:106" ht="15" customHeight="1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</row>
    <row r="70" spans="1:106" ht="15" customHeight="1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</row>
    <row r="71" spans="1:106" ht="15" customHeight="1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</row>
    <row r="72" spans="1:106" ht="15" customHeight="1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</row>
    <row r="73" spans="1:106" ht="15" customHeight="1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</row>
    <row r="74" spans="1:106" ht="15" customHeight="1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</row>
    <row r="75" spans="1:106" ht="15" customHeight="1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</row>
    <row r="76" spans="1:106" ht="15" customHeight="1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</row>
    <row r="77" spans="1:106" ht="15" customHeight="1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</row>
    <row r="78" spans="1:106" ht="15" customHeight="1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</row>
    <row r="79" spans="1:106" ht="15" customHeight="1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</row>
    <row r="80" spans="1:106" ht="15" customHeight="1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</row>
    <row r="81" spans="1:106" ht="15" customHeight="1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</row>
    <row r="82" spans="1:106" ht="15" customHeight="1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</row>
    <row r="83" spans="1:106" ht="15" customHeight="1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</row>
    <row r="84" spans="1:106" ht="15" customHeight="1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</row>
    <row r="85" spans="1:106" ht="15" customHeight="1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</row>
    <row r="86" spans="1:106" ht="15" customHeight="1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</row>
    <row r="87" spans="1:106" ht="15" customHeight="1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</row>
    <row r="88" spans="1:106" ht="15" customHeight="1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</row>
    <row r="89" spans="1:106" ht="15" customHeight="1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</row>
    <row r="90" spans="1:106" ht="15" customHeight="1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</row>
    <row r="91" spans="1:106" ht="15" customHeight="1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</row>
    <row r="92" spans="1:106" ht="15" customHeight="1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</row>
    <row r="93" spans="1:106" ht="15" customHeight="1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</row>
    <row r="94" spans="1:106" ht="15" customHeight="1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</row>
    <row r="95" spans="1:106" ht="15" customHeight="1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</row>
    <row r="96" spans="1:106" ht="15" customHeight="1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</row>
    <row r="97" spans="1:106" ht="15" customHeight="1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</row>
    <row r="98" spans="1:106" ht="15" customHeight="1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</row>
    <row r="99" spans="1:106" ht="15" customHeight="1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</row>
    <row r="100" spans="1:106" ht="15" customHeight="1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</row>
    <row r="101" spans="1:106" ht="15" customHeight="1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</row>
    <row r="102" spans="1:106" ht="15" customHeight="1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</row>
    <row r="103" spans="1:106" ht="15" customHeight="1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</row>
    <row r="104" spans="1:106" ht="15" customHeight="1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</row>
    <row r="105" spans="1:106" ht="15" customHeight="1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</row>
  </sheetData>
  <sheetProtection algorithmName="SHA-512" hashValue="dGCjkhIlWfVDQUR/QGrm1KE5bpXD6pxiKsCXNSzeiBFfuODGLF66nrAo3SYTDLWtRq977PhjYM87mOhM+5mD/A==" saltValue="MGTORcN4FKnODdYcg1EGlg==" spinCount="100000" sheet="1" objects="1" scenarios="1" selectLockedCells="1" selectUnlockedCells="1"/>
  <mergeCells count="284">
    <mergeCell ref="BW37:BZ38"/>
    <mergeCell ref="CB37:CE38"/>
    <mergeCell ref="CG37:CJ38"/>
    <mergeCell ref="CL37:CO38"/>
    <mergeCell ref="G5:J6"/>
    <mergeCell ref="I9:J10"/>
    <mergeCell ref="G12:J13"/>
    <mergeCell ref="I28:J29"/>
    <mergeCell ref="I30:J31"/>
    <mergeCell ref="L5:O6"/>
    <mergeCell ref="G19:J20"/>
    <mergeCell ref="G26:J27"/>
    <mergeCell ref="I14:J15"/>
    <mergeCell ref="I16:J17"/>
    <mergeCell ref="I21:J22"/>
    <mergeCell ref="I23:J24"/>
    <mergeCell ref="N7:O8"/>
    <mergeCell ref="N9:O10"/>
    <mergeCell ref="L12:O13"/>
    <mergeCell ref="N14:O15"/>
    <mergeCell ref="N16:O17"/>
    <mergeCell ref="L19:O20"/>
    <mergeCell ref="N21:O22"/>
    <mergeCell ref="AD37:AG38"/>
    <mergeCell ref="AI37:AL38"/>
    <mergeCell ref="AN37:AQ38"/>
    <mergeCell ref="AS37:AV38"/>
    <mergeCell ref="AX37:BA38"/>
    <mergeCell ref="BC37:BF38"/>
    <mergeCell ref="BH37:BK38"/>
    <mergeCell ref="BM37:BP38"/>
    <mergeCell ref="BR37:BU38"/>
    <mergeCell ref="CB2:CE3"/>
    <mergeCell ref="BC17:BF18"/>
    <mergeCell ref="BH17:BK18"/>
    <mergeCell ref="BM17:BP18"/>
    <mergeCell ref="BH15:BK16"/>
    <mergeCell ref="BM15:BP16"/>
    <mergeCell ref="BR15:BU16"/>
    <mergeCell ref="BW15:BZ16"/>
    <mergeCell ref="CB15:CE16"/>
    <mergeCell ref="BW23:BZ24"/>
    <mergeCell ref="CB23:CE24"/>
    <mergeCell ref="BW25:BZ26"/>
    <mergeCell ref="CB25:CE26"/>
    <mergeCell ref="AN33:AQ34"/>
    <mergeCell ref="AS33:AV34"/>
    <mergeCell ref="CB33:CE34"/>
    <mergeCell ref="CL2:CO3"/>
    <mergeCell ref="X5:AA6"/>
    <mergeCell ref="AD5:AG6"/>
    <mergeCell ref="AI5:AL6"/>
    <mergeCell ref="AN5:AQ6"/>
    <mergeCell ref="AS5:AV6"/>
    <mergeCell ref="AX5:BA6"/>
    <mergeCell ref="BC5:BF6"/>
    <mergeCell ref="AX2:BA3"/>
    <mergeCell ref="BC2:BF3"/>
    <mergeCell ref="BH2:BK3"/>
    <mergeCell ref="BM2:BP3"/>
    <mergeCell ref="BR2:BU3"/>
    <mergeCell ref="BW2:BZ3"/>
    <mergeCell ref="AD2:AG3"/>
    <mergeCell ref="AI2:AL3"/>
    <mergeCell ref="AN2:AQ3"/>
    <mergeCell ref="AS2:AV3"/>
    <mergeCell ref="CL5:CO6"/>
    <mergeCell ref="BW5:BZ6"/>
    <mergeCell ref="CB5:CE6"/>
    <mergeCell ref="CG5:CJ6"/>
    <mergeCell ref="G2:J3"/>
    <mergeCell ref="L2:O3"/>
    <mergeCell ref="I7:J8"/>
    <mergeCell ref="D5:E10"/>
    <mergeCell ref="BM9:BP10"/>
    <mergeCell ref="BR9:BU10"/>
    <mergeCell ref="BW9:BZ10"/>
    <mergeCell ref="CB9:CE10"/>
    <mergeCell ref="CG9:CJ10"/>
    <mergeCell ref="X7:AA8"/>
    <mergeCell ref="AD7:AG8"/>
    <mergeCell ref="AI7:AL8"/>
    <mergeCell ref="AN7:AQ8"/>
    <mergeCell ref="AS7:AV8"/>
    <mergeCell ref="AX7:BA8"/>
    <mergeCell ref="BH5:BK6"/>
    <mergeCell ref="BM5:BP6"/>
    <mergeCell ref="BR5:BU6"/>
    <mergeCell ref="CG2:CJ3"/>
    <mergeCell ref="CL9:CO10"/>
    <mergeCell ref="CG7:CJ8"/>
    <mergeCell ref="CL7:CO8"/>
    <mergeCell ref="X9:AA10"/>
    <mergeCell ref="AD9:AG10"/>
    <mergeCell ref="AI9:AL10"/>
    <mergeCell ref="AN9:AQ10"/>
    <mergeCell ref="AS9:AV10"/>
    <mergeCell ref="AX9:BA10"/>
    <mergeCell ref="BC9:BF10"/>
    <mergeCell ref="BH9:BK10"/>
    <mergeCell ref="BC7:BF8"/>
    <mergeCell ref="BH7:BK8"/>
    <mergeCell ref="BM7:BP8"/>
    <mergeCell ref="BR7:BU8"/>
    <mergeCell ref="BW7:BZ8"/>
    <mergeCell ref="CB7:CE8"/>
    <mergeCell ref="CG11:CJ12"/>
    <mergeCell ref="CL11:CO12"/>
    <mergeCell ref="X13:AA14"/>
    <mergeCell ref="AD13:AG14"/>
    <mergeCell ref="AI13:AL14"/>
    <mergeCell ref="AN13:AQ14"/>
    <mergeCell ref="AS13:AV14"/>
    <mergeCell ref="BC11:BF12"/>
    <mergeCell ref="BH11:BK12"/>
    <mergeCell ref="BM11:BP12"/>
    <mergeCell ref="BR11:BU12"/>
    <mergeCell ref="BW11:BZ12"/>
    <mergeCell ref="CB11:CE12"/>
    <mergeCell ref="X11:AA12"/>
    <mergeCell ref="AD11:AG12"/>
    <mergeCell ref="AI11:AL12"/>
    <mergeCell ref="AN11:AQ12"/>
    <mergeCell ref="AS11:AV12"/>
    <mergeCell ref="AX11:BA12"/>
    <mergeCell ref="D12:E17"/>
    <mergeCell ref="CB13:CE14"/>
    <mergeCell ref="CG13:CJ14"/>
    <mergeCell ref="CL13:CO14"/>
    <mergeCell ref="X15:AA16"/>
    <mergeCell ref="AD15:AG16"/>
    <mergeCell ref="AI15:AL16"/>
    <mergeCell ref="AN15:AQ16"/>
    <mergeCell ref="AS15:AV16"/>
    <mergeCell ref="AX15:BA16"/>
    <mergeCell ref="BC15:BF16"/>
    <mergeCell ref="AX13:BA14"/>
    <mergeCell ref="BC13:BF14"/>
    <mergeCell ref="BH13:BK14"/>
    <mergeCell ref="BM13:BP14"/>
    <mergeCell ref="BR13:BU14"/>
    <mergeCell ref="BW13:BZ14"/>
    <mergeCell ref="CL15:CO16"/>
    <mergeCell ref="X17:AA18"/>
    <mergeCell ref="AD17:AG18"/>
    <mergeCell ref="AI17:AL18"/>
    <mergeCell ref="AN17:AQ18"/>
    <mergeCell ref="AS17:AV18"/>
    <mergeCell ref="AX17:BA18"/>
    <mergeCell ref="CG15:CJ16"/>
    <mergeCell ref="BR17:BU18"/>
    <mergeCell ref="BW17:BZ18"/>
    <mergeCell ref="CB17:CE18"/>
    <mergeCell ref="CG17:CJ18"/>
    <mergeCell ref="CL17:CO18"/>
    <mergeCell ref="X19:AA20"/>
    <mergeCell ref="AD19:AG20"/>
    <mergeCell ref="D19:E24"/>
    <mergeCell ref="N23:O24"/>
    <mergeCell ref="AS21:AV22"/>
    <mergeCell ref="AX21:BA22"/>
    <mergeCell ref="BM19:BP20"/>
    <mergeCell ref="BR19:BU20"/>
    <mergeCell ref="BW19:BZ20"/>
    <mergeCell ref="CB19:CE20"/>
    <mergeCell ref="CG19:CJ20"/>
    <mergeCell ref="CL19:CO20"/>
    <mergeCell ref="AI19:AL20"/>
    <mergeCell ref="AN19:AQ20"/>
    <mergeCell ref="AS19:AV20"/>
    <mergeCell ref="AX19:BA20"/>
    <mergeCell ref="BC19:BF20"/>
    <mergeCell ref="BH19:BK20"/>
    <mergeCell ref="CG23:CJ24"/>
    <mergeCell ref="CL23:CO24"/>
    <mergeCell ref="CG21:CJ22"/>
    <mergeCell ref="CL21:CO22"/>
    <mergeCell ref="X23:AA24"/>
    <mergeCell ref="AD23:AG24"/>
    <mergeCell ref="AI23:AL24"/>
    <mergeCell ref="AN23:AQ24"/>
    <mergeCell ref="AS23:AV24"/>
    <mergeCell ref="AX23:BA24"/>
    <mergeCell ref="BC23:BF24"/>
    <mergeCell ref="BH23:BK24"/>
    <mergeCell ref="BC21:BF22"/>
    <mergeCell ref="BH21:BK22"/>
    <mergeCell ref="BM21:BP22"/>
    <mergeCell ref="BR21:BU22"/>
    <mergeCell ref="BW21:BZ22"/>
    <mergeCell ref="CB21:CE22"/>
    <mergeCell ref="X21:AA22"/>
    <mergeCell ref="AD21:AG22"/>
    <mergeCell ref="AI21:AL22"/>
    <mergeCell ref="AN21:AQ22"/>
    <mergeCell ref="D26:E31"/>
    <mergeCell ref="L26:O27"/>
    <mergeCell ref="N28:O29"/>
    <mergeCell ref="N30:O31"/>
    <mergeCell ref="BR25:BU26"/>
    <mergeCell ref="X29:AA30"/>
    <mergeCell ref="AD29:AG30"/>
    <mergeCell ref="AI29:AL30"/>
    <mergeCell ref="AN29:AQ30"/>
    <mergeCell ref="AS29:AV30"/>
    <mergeCell ref="AX29:BA30"/>
    <mergeCell ref="BC29:BF30"/>
    <mergeCell ref="BM27:BP28"/>
    <mergeCell ref="BR27:BU28"/>
    <mergeCell ref="AN31:AQ32"/>
    <mergeCell ref="AS31:AV32"/>
    <mergeCell ref="AX31:BA32"/>
    <mergeCell ref="BC31:BF32"/>
    <mergeCell ref="BH31:BK32"/>
    <mergeCell ref="BM31:BP32"/>
    <mergeCell ref="X31:AA32"/>
    <mergeCell ref="BW27:BZ28"/>
    <mergeCell ref="X25:AA26"/>
    <mergeCell ref="AD25:AG26"/>
    <mergeCell ref="AI25:AL26"/>
    <mergeCell ref="V27:W28"/>
    <mergeCell ref="BM23:BP24"/>
    <mergeCell ref="BR23:BU24"/>
    <mergeCell ref="BR29:BU30"/>
    <mergeCell ref="BW29:BZ30"/>
    <mergeCell ref="BH29:BK30"/>
    <mergeCell ref="BM29:BP30"/>
    <mergeCell ref="CB29:CE30"/>
    <mergeCell ref="CG29:CJ30"/>
    <mergeCell ref="V31:W32"/>
    <mergeCell ref="CG25:CJ26"/>
    <mergeCell ref="CL25:CO26"/>
    <mergeCell ref="X27:AA28"/>
    <mergeCell ref="AD27:AG28"/>
    <mergeCell ref="AI27:AL28"/>
    <mergeCell ref="AN27:AQ28"/>
    <mergeCell ref="AS27:AV28"/>
    <mergeCell ref="AN25:AQ26"/>
    <mergeCell ref="AS25:AV26"/>
    <mergeCell ref="AX25:BA26"/>
    <mergeCell ref="BC25:BF26"/>
    <mergeCell ref="BH25:BK26"/>
    <mergeCell ref="BM25:BP26"/>
    <mergeCell ref="CB27:CE28"/>
    <mergeCell ref="CG27:CJ28"/>
    <mergeCell ref="CL27:CO28"/>
    <mergeCell ref="AX27:BA28"/>
    <mergeCell ref="BC27:BF28"/>
    <mergeCell ref="BH27:BK28"/>
    <mergeCell ref="AD31:AG32"/>
    <mergeCell ref="AI31:AL32"/>
    <mergeCell ref="CG33:CJ34"/>
    <mergeCell ref="CL33:CO34"/>
    <mergeCell ref="X35:AA36"/>
    <mergeCell ref="V5:W6"/>
    <mergeCell ref="V7:W8"/>
    <mergeCell ref="V9:W10"/>
    <mergeCell ref="V11:W12"/>
    <mergeCell ref="V13:W14"/>
    <mergeCell ref="AX33:BA34"/>
    <mergeCell ref="BC33:BF34"/>
    <mergeCell ref="BH33:BK34"/>
    <mergeCell ref="BM33:BP34"/>
    <mergeCell ref="BR33:BU34"/>
    <mergeCell ref="BW33:BZ34"/>
    <mergeCell ref="BR31:BU32"/>
    <mergeCell ref="BW31:BZ32"/>
    <mergeCell ref="CB31:CE32"/>
    <mergeCell ref="CG31:CJ32"/>
    <mergeCell ref="CL31:CO32"/>
    <mergeCell ref="X33:AA34"/>
    <mergeCell ref="AD33:AG34"/>
    <mergeCell ref="AI33:AL34"/>
    <mergeCell ref="V29:W30"/>
    <mergeCell ref="CL29:CO30"/>
    <mergeCell ref="M34:N35"/>
    <mergeCell ref="V33:W34"/>
    <mergeCell ref="V35:W36"/>
    <mergeCell ref="V15:W16"/>
    <mergeCell ref="V17:W18"/>
    <mergeCell ref="V19:W20"/>
    <mergeCell ref="V21:W22"/>
    <mergeCell ref="V23:W24"/>
    <mergeCell ref="V25:W26"/>
  </mergeCells>
  <conditionalFormatting sqref="AD5:AG34 AI5:AL35 AN5:AQ34 AS5:AV34 AX5:BA34 BC5:BF34 BH5:BK34 BM5:BP34 BR5:BU34 BW5:BZ34 CB5:CE34 CG5:CJ34 CL5:CP34 X5:AA5 V5">
    <cfRule type="containsText" dxfId="116" priority="46" operator="containsText" text="♦">
      <formula>NOT(ISERROR(SEARCH("♦",V5)))</formula>
    </cfRule>
    <cfRule type="containsText" dxfId="115" priority="47" operator="containsText" text="♥">
      <formula>NOT(ISERROR(SEARCH("♥",V5)))</formula>
    </cfRule>
  </conditionalFormatting>
  <conditionalFormatting sqref="V7 V9 V11 V13 V15 V17 V19 V21 V23 V25 V27 V29 V31 X6:AA36 V33 V35">
    <cfRule type="containsText" dxfId="114" priority="44" operator="containsText" text="♦">
      <formula>NOT(ISERROR(SEARCH("♦",V6)))</formula>
    </cfRule>
    <cfRule type="containsText" dxfId="113" priority="45" operator="containsText" text="♥">
      <formula>NOT(ISERROR(SEARCH("♥",V6)))</formula>
    </cfRule>
  </conditionalFormatting>
  <conditionalFormatting sqref="V5:W36">
    <cfRule type="cellIs" dxfId="112" priority="43" operator="equal">
      <formula>TRUE</formula>
    </cfRule>
  </conditionalFormatting>
  <conditionalFormatting sqref="AD37">
    <cfRule type="containsText" dxfId="111" priority="41" operator="containsText" text="♦">
      <formula>NOT(ISERROR(SEARCH("♦",AD37)))</formula>
    </cfRule>
    <cfRule type="containsText" dxfId="110" priority="42" operator="containsText" text="♥">
      <formula>NOT(ISERROR(SEARCH("♥",AD37)))</formula>
    </cfRule>
  </conditionalFormatting>
  <conditionalFormatting sqref="AD37">
    <cfRule type="cellIs" dxfId="109" priority="40" operator="equal">
      <formula>TRUE</formula>
    </cfRule>
  </conditionalFormatting>
  <conditionalFormatting sqref="AI37">
    <cfRule type="containsText" dxfId="108" priority="38" operator="containsText" text="♦">
      <formula>NOT(ISERROR(SEARCH("♦",AI37)))</formula>
    </cfRule>
    <cfRule type="containsText" dxfId="107" priority="39" operator="containsText" text="♥">
      <formula>NOT(ISERROR(SEARCH("♥",AI37)))</formula>
    </cfRule>
  </conditionalFormatting>
  <conditionalFormatting sqref="AI37">
    <cfRule type="cellIs" dxfId="106" priority="37" operator="equal">
      <formula>TRUE</formula>
    </cfRule>
  </conditionalFormatting>
  <conditionalFormatting sqref="AN37">
    <cfRule type="containsText" dxfId="105" priority="35" operator="containsText" text="♦">
      <formula>NOT(ISERROR(SEARCH("♦",AN37)))</formula>
    </cfRule>
    <cfRule type="containsText" dxfId="104" priority="36" operator="containsText" text="♥">
      <formula>NOT(ISERROR(SEARCH("♥",AN37)))</formula>
    </cfRule>
  </conditionalFormatting>
  <conditionalFormatting sqref="AN37">
    <cfRule type="cellIs" dxfId="103" priority="34" operator="equal">
      <formula>TRUE</formula>
    </cfRule>
  </conditionalFormatting>
  <conditionalFormatting sqref="AS37">
    <cfRule type="containsText" dxfId="102" priority="32" operator="containsText" text="♦">
      <formula>NOT(ISERROR(SEARCH("♦",AS37)))</formula>
    </cfRule>
    <cfRule type="containsText" dxfId="101" priority="33" operator="containsText" text="♥">
      <formula>NOT(ISERROR(SEARCH("♥",AS37)))</formula>
    </cfRule>
  </conditionalFormatting>
  <conditionalFormatting sqref="AS37">
    <cfRule type="cellIs" dxfId="100" priority="31" operator="equal">
      <formula>TRUE</formula>
    </cfRule>
  </conditionalFormatting>
  <conditionalFormatting sqref="AX37">
    <cfRule type="containsText" dxfId="99" priority="29" operator="containsText" text="♦">
      <formula>NOT(ISERROR(SEARCH("♦",AX37)))</formula>
    </cfRule>
    <cfRule type="containsText" dxfId="98" priority="30" operator="containsText" text="♥">
      <formula>NOT(ISERROR(SEARCH("♥",AX37)))</formula>
    </cfRule>
  </conditionalFormatting>
  <conditionalFormatting sqref="AX37">
    <cfRule type="cellIs" dxfId="97" priority="28" operator="equal">
      <formula>TRUE</formula>
    </cfRule>
  </conditionalFormatting>
  <conditionalFormatting sqref="BC37">
    <cfRule type="containsText" dxfId="96" priority="26" operator="containsText" text="♦">
      <formula>NOT(ISERROR(SEARCH("♦",BC37)))</formula>
    </cfRule>
    <cfRule type="containsText" dxfId="95" priority="27" operator="containsText" text="♥">
      <formula>NOT(ISERROR(SEARCH("♥",BC37)))</formula>
    </cfRule>
  </conditionalFormatting>
  <conditionalFormatting sqref="BC37">
    <cfRule type="cellIs" dxfId="94" priority="25" operator="equal">
      <formula>TRUE</formula>
    </cfRule>
  </conditionalFormatting>
  <conditionalFormatting sqref="BH37">
    <cfRule type="containsText" dxfId="93" priority="23" operator="containsText" text="♦">
      <formula>NOT(ISERROR(SEARCH("♦",BH37)))</formula>
    </cfRule>
    <cfRule type="containsText" dxfId="92" priority="24" operator="containsText" text="♥">
      <formula>NOT(ISERROR(SEARCH("♥",BH37)))</formula>
    </cfRule>
  </conditionalFormatting>
  <conditionalFormatting sqref="BH37">
    <cfRule type="cellIs" dxfId="91" priority="22" operator="equal">
      <formula>TRUE</formula>
    </cfRule>
  </conditionalFormatting>
  <conditionalFormatting sqref="BM37">
    <cfRule type="containsText" dxfId="90" priority="20" operator="containsText" text="♦">
      <formula>NOT(ISERROR(SEARCH("♦",BM37)))</formula>
    </cfRule>
    <cfRule type="containsText" dxfId="89" priority="21" operator="containsText" text="♥">
      <formula>NOT(ISERROR(SEARCH("♥",BM37)))</formula>
    </cfRule>
  </conditionalFormatting>
  <conditionalFormatting sqref="BM37">
    <cfRule type="cellIs" dxfId="88" priority="19" operator="equal">
      <formula>TRUE</formula>
    </cfRule>
  </conditionalFormatting>
  <conditionalFormatting sqref="BR37">
    <cfRule type="containsText" dxfId="87" priority="17" operator="containsText" text="♦">
      <formula>NOT(ISERROR(SEARCH("♦",BR37)))</formula>
    </cfRule>
    <cfRule type="containsText" dxfId="86" priority="18" operator="containsText" text="♥">
      <formula>NOT(ISERROR(SEARCH("♥",BR37)))</formula>
    </cfRule>
  </conditionalFormatting>
  <conditionalFormatting sqref="BR37">
    <cfRule type="cellIs" dxfId="85" priority="16" operator="equal">
      <formula>TRUE</formula>
    </cfRule>
  </conditionalFormatting>
  <conditionalFormatting sqref="BW37">
    <cfRule type="containsText" dxfId="84" priority="14" operator="containsText" text="♦">
      <formula>NOT(ISERROR(SEARCH("♦",BW37)))</formula>
    </cfRule>
    <cfRule type="containsText" dxfId="83" priority="15" operator="containsText" text="♥">
      <formula>NOT(ISERROR(SEARCH("♥",BW37)))</formula>
    </cfRule>
  </conditionalFormatting>
  <conditionalFormatting sqref="BW37">
    <cfRule type="cellIs" dxfId="82" priority="13" operator="equal">
      <formula>TRUE</formula>
    </cfRule>
  </conditionalFormatting>
  <conditionalFormatting sqref="CB37">
    <cfRule type="containsText" dxfId="81" priority="11" operator="containsText" text="♦">
      <formula>NOT(ISERROR(SEARCH("♦",CB37)))</formula>
    </cfRule>
    <cfRule type="containsText" dxfId="80" priority="12" operator="containsText" text="♥">
      <formula>NOT(ISERROR(SEARCH("♥",CB37)))</formula>
    </cfRule>
  </conditionalFormatting>
  <conditionalFormatting sqref="CB37">
    <cfRule type="cellIs" dxfId="79" priority="10" operator="equal">
      <formula>TRUE</formula>
    </cfRule>
  </conditionalFormatting>
  <conditionalFormatting sqref="CG37">
    <cfRule type="containsText" dxfId="78" priority="8" operator="containsText" text="♦">
      <formula>NOT(ISERROR(SEARCH("♦",CG37)))</formula>
    </cfRule>
    <cfRule type="containsText" dxfId="77" priority="9" operator="containsText" text="♥">
      <formula>NOT(ISERROR(SEARCH("♥",CG37)))</formula>
    </cfRule>
  </conditionalFormatting>
  <conditionalFormatting sqref="CG37">
    <cfRule type="cellIs" dxfId="76" priority="7" operator="equal">
      <formula>TRUE</formula>
    </cfRule>
  </conditionalFormatting>
  <conditionalFormatting sqref="CL37">
    <cfRule type="containsText" dxfId="75" priority="5" operator="containsText" text="♦">
      <formula>NOT(ISERROR(SEARCH("♦",CL37)))</formula>
    </cfRule>
    <cfRule type="containsText" dxfId="74" priority="6" operator="containsText" text="♥">
      <formula>NOT(ISERROR(SEARCH("♥",CL37)))</formula>
    </cfRule>
  </conditionalFormatting>
  <conditionalFormatting sqref="CL37">
    <cfRule type="cellIs" dxfId="73" priority="4" operator="equal">
      <formula>TRUE</formula>
    </cfRule>
  </conditionalFormatting>
  <conditionalFormatting sqref="N28 N30 I28 I30 I21 I23 N21 N23 N14 N16 I14 I16 N7 N9 I7 I9">
    <cfRule type="containsText" dxfId="72" priority="2" operator="containsText" text="♦">
      <formula>NOT(ISERROR(SEARCH("♦",I7)))</formula>
    </cfRule>
    <cfRule type="containsText" dxfId="71" priority="3" operator="containsText" text="♥">
      <formula>NOT(ISERROR(SEARCH("♥",I7)))</formula>
    </cfRule>
  </conditionalFormatting>
  <conditionalFormatting sqref="N28:O31 I28:J31 I21:J24 N21:O24 N14:O17 I14:J17 N7:O10 I7:J10">
    <cfRule type="cellIs" dxfId="70" priority="1" operator="equal">
      <formula>TRUE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B8084-C66F-4672-AA34-E2A8D4AF1FCD}">
  <sheetPr codeName="Sheet11">
    <tabColor theme="5" tint="-0.249977111117893"/>
  </sheetPr>
  <dimension ref="A1:DZ105"/>
  <sheetViews>
    <sheetView zoomScale="85" zoomScaleNormal="85" workbookViewId="0">
      <selection activeCell="J38" sqref="J38"/>
    </sheetView>
  </sheetViews>
  <sheetFormatPr defaultRowHeight="15" x14ac:dyDescent="0.25"/>
  <cols>
    <col min="1" max="95" width="2.85546875" customWidth="1"/>
    <col min="96" max="98" width="3.5703125" bestFit="1" customWidth="1"/>
    <col min="99" max="99" width="4.140625" bestFit="1" customWidth="1"/>
    <col min="100" max="110" width="3.5703125" bestFit="1" customWidth="1"/>
    <col min="111" max="113" width="2.85546875" customWidth="1"/>
    <col min="114" max="114" width="3.5703125" style="18" customWidth="1"/>
    <col min="115" max="123" width="3.5703125" customWidth="1"/>
    <col min="124" max="130" width="2.85546875" customWidth="1"/>
  </cols>
  <sheetData>
    <row r="1" spans="1:130" ht="15" customHeight="1" thickBot="1" x14ac:dyDescent="0.3">
      <c r="A1" s="29"/>
      <c r="B1" s="29"/>
      <c r="C1" s="29"/>
      <c r="D1" s="29"/>
      <c r="E1" s="29"/>
      <c r="F1" s="29"/>
      <c r="G1" s="30"/>
      <c r="H1" s="30"/>
      <c r="I1" s="30"/>
      <c r="J1" s="30"/>
      <c r="K1" s="18"/>
      <c r="L1" s="30"/>
      <c r="M1" s="30"/>
      <c r="N1" s="30"/>
      <c r="O1" s="30"/>
      <c r="P1" s="18"/>
      <c r="Q1" s="18"/>
      <c r="R1" s="18"/>
      <c r="S1" s="18"/>
      <c r="T1" s="18"/>
      <c r="U1" s="18"/>
      <c r="V1" s="18"/>
      <c r="W1" s="18"/>
      <c r="X1" s="18"/>
      <c r="Y1" s="18"/>
      <c r="Z1" s="29"/>
      <c r="AA1" s="18"/>
      <c r="AB1" s="18"/>
      <c r="AC1" s="29"/>
      <c r="AD1" s="30"/>
      <c r="AE1" s="30"/>
      <c r="AF1" s="30"/>
      <c r="AG1" s="30"/>
      <c r="AH1" s="29"/>
      <c r="AI1" s="30"/>
      <c r="AJ1" s="30"/>
      <c r="AK1" s="30"/>
      <c r="AL1" s="30"/>
      <c r="AM1" s="29"/>
      <c r="AN1" s="30"/>
      <c r="AO1" s="30"/>
      <c r="AP1" s="30"/>
      <c r="AQ1" s="30"/>
      <c r="AR1" s="29"/>
      <c r="AS1" s="30"/>
      <c r="AT1" s="30"/>
      <c r="AU1" s="30"/>
      <c r="AV1" s="30"/>
      <c r="AW1" s="29"/>
      <c r="AX1" s="30"/>
      <c r="AY1" s="30"/>
      <c r="AZ1" s="30"/>
      <c r="BA1" s="30"/>
      <c r="BB1" s="29"/>
      <c r="BC1" s="30"/>
      <c r="BD1" s="30"/>
      <c r="BE1" s="30"/>
      <c r="BF1" s="30"/>
      <c r="BG1" s="29"/>
      <c r="BH1" s="30"/>
      <c r="BI1" s="30"/>
      <c r="BJ1" s="30"/>
      <c r="BK1" s="30"/>
      <c r="BL1" s="29"/>
      <c r="BM1" s="30"/>
      <c r="BN1" s="30"/>
      <c r="BO1" s="30"/>
      <c r="BP1" s="30"/>
      <c r="BQ1" s="29"/>
      <c r="BR1" s="30"/>
      <c r="BS1" s="30"/>
      <c r="BT1" s="30"/>
      <c r="BU1" s="30"/>
      <c r="BV1" s="29"/>
      <c r="BW1" s="30"/>
      <c r="BX1" s="30"/>
      <c r="BY1" s="30"/>
      <c r="BZ1" s="30"/>
      <c r="CA1" s="29"/>
      <c r="CB1" s="30"/>
      <c r="CC1" s="30"/>
      <c r="CD1" s="30"/>
      <c r="CE1" s="30"/>
      <c r="CF1" s="29"/>
      <c r="CG1" s="30"/>
      <c r="CH1" s="30"/>
      <c r="CI1" s="30"/>
      <c r="CJ1" s="30"/>
      <c r="CK1" s="29"/>
      <c r="CL1" s="30"/>
      <c r="CM1" s="30"/>
      <c r="CN1" s="30"/>
      <c r="CO1" s="32"/>
      <c r="CP1" s="18"/>
      <c r="CQ1" s="29"/>
      <c r="CR1" s="18"/>
      <c r="CS1" s="18"/>
      <c r="CT1" s="29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</row>
    <row r="2" spans="1:130" ht="15" customHeight="1" thickBot="1" x14ac:dyDescent="0.3">
      <c r="A2" s="28"/>
      <c r="B2" s="18"/>
      <c r="C2" s="18"/>
      <c r="D2" s="18"/>
      <c r="E2" s="18"/>
      <c r="F2" s="18"/>
      <c r="G2" s="248" t="s">
        <v>1</v>
      </c>
      <c r="H2" s="249"/>
      <c r="I2" s="249"/>
      <c r="J2" s="250"/>
      <c r="K2" s="18"/>
      <c r="L2" s="248" t="s">
        <v>2</v>
      </c>
      <c r="M2" s="249"/>
      <c r="N2" s="249"/>
      <c r="O2" s="250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254" t="s">
        <v>1</v>
      </c>
      <c r="AE2" s="255"/>
      <c r="AF2" s="255"/>
      <c r="AG2" s="256"/>
      <c r="AH2" s="18"/>
      <c r="AI2" s="254">
        <v>2</v>
      </c>
      <c r="AJ2" s="255"/>
      <c r="AK2" s="255"/>
      <c r="AL2" s="256"/>
      <c r="AM2" s="18"/>
      <c r="AN2" s="254">
        <v>3</v>
      </c>
      <c r="AO2" s="255"/>
      <c r="AP2" s="255"/>
      <c r="AQ2" s="256"/>
      <c r="AR2" s="18"/>
      <c r="AS2" s="254">
        <v>4</v>
      </c>
      <c r="AT2" s="255"/>
      <c r="AU2" s="255"/>
      <c r="AV2" s="256"/>
      <c r="AW2" s="18"/>
      <c r="AX2" s="254">
        <v>5</v>
      </c>
      <c r="AY2" s="255"/>
      <c r="AZ2" s="255"/>
      <c r="BA2" s="256"/>
      <c r="BB2" s="18"/>
      <c r="BC2" s="254">
        <v>6</v>
      </c>
      <c r="BD2" s="255"/>
      <c r="BE2" s="255"/>
      <c r="BF2" s="256"/>
      <c r="BG2" s="18"/>
      <c r="BH2" s="254">
        <v>7</v>
      </c>
      <c r="BI2" s="255"/>
      <c r="BJ2" s="255"/>
      <c r="BK2" s="256"/>
      <c r="BL2" s="18"/>
      <c r="BM2" s="254">
        <v>8</v>
      </c>
      <c r="BN2" s="255"/>
      <c r="BO2" s="255"/>
      <c r="BP2" s="256"/>
      <c r="BQ2" s="18"/>
      <c r="BR2" s="254">
        <v>9</v>
      </c>
      <c r="BS2" s="255"/>
      <c r="BT2" s="255"/>
      <c r="BU2" s="256"/>
      <c r="BV2" s="18"/>
      <c r="BW2" s="254">
        <v>10</v>
      </c>
      <c r="BX2" s="255"/>
      <c r="BY2" s="255"/>
      <c r="BZ2" s="256"/>
      <c r="CA2" s="18"/>
      <c r="CB2" s="254" t="s">
        <v>3</v>
      </c>
      <c r="CC2" s="255"/>
      <c r="CD2" s="255"/>
      <c r="CE2" s="256"/>
      <c r="CF2" s="18"/>
      <c r="CG2" s="254" t="s">
        <v>4</v>
      </c>
      <c r="CH2" s="255"/>
      <c r="CI2" s="255"/>
      <c r="CJ2" s="256"/>
      <c r="CK2" s="18"/>
      <c r="CL2" s="254" t="s">
        <v>2</v>
      </c>
      <c r="CM2" s="255"/>
      <c r="CN2" s="255"/>
      <c r="CO2" s="256"/>
      <c r="CP2" s="18"/>
      <c r="CQ2" s="31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</row>
    <row r="3" spans="1:130" ht="15" customHeight="1" thickBot="1" x14ac:dyDescent="0.3">
      <c r="A3" s="28"/>
      <c r="B3" s="18"/>
      <c r="C3" s="18"/>
      <c r="D3" s="18"/>
      <c r="E3" s="18"/>
      <c r="F3" s="18"/>
      <c r="G3" s="251"/>
      <c r="H3" s="252"/>
      <c r="I3" s="252"/>
      <c r="J3" s="253"/>
      <c r="K3" s="18"/>
      <c r="L3" s="251"/>
      <c r="M3" s="252"/>
      <c r="N3" s="252"/>
      <c r="O3" s="253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257"/>
      <c r="AE3" s="258"/>
      <c r="AF3" s="258"/>
      <c r="AG3" s="259"/>
      <c r="AH3" s="18"/>
      <c r="AI3" s="257"/>
      <c r="AJ3" s="258"/>
      <c r="AK3" s="258"/>
      <c r="AL3" s="259"/>
      <c r="AM3" s="18"/>
      <c r="AN3" s="257"/>
      <c r="AO3" s="258"/>
      <c r="AP3" s="258"/>
      <c r="AQ3" s="259"/>
      <c r="AR3" s="18"/>
      <c r="AS3" s="257"/>
      <c r="AT3" s="258"/>
      <c r="AU3" s="258"/>
      <c r="AV3" s="259"/>
      <c r="AW3" s="18"/>
      <c r="AX3" s="257"/>
      <c r="AY3" s="258"/>
      <c r="AZ3" s="258"/>
      <c r="BA3" s="259"/>
      <c r="BB3" s="18"/>
      <c r="BC3" s="257"/>
      <c r="BD3" s="258"/>
      <c r="BE3" s="258"/>
      <c r="BF3" s="259"/>
      <c r="BG3" s="18"/>
      <c r="BH3" s="257"/>
      <c r="BI3" s="258"/>
      <c r="BJ3" s="258"/>
      <c r="BK3" s="259"/>
      <c r="BL3" s="18"/>
      <c r="BM3" s="257"/>
      <c r="BN3" s="258"/>
      <c r="BO3" s="258"/>
      <c r="BP3" s="259"/>
      <c r="BQ3" s="18"/>
      <c r="BR3" s="257"/>
      <c r="BS3" s="258"/>
      <c r="BT3" s="258"/>
      <c r="BU3" s="259"/>
      <c r="BV3" s="18"/>
      <c r="BW3" s="257"/>
      <c r="BX3" s="258"/>
      <c r="BY3" s="258"/>
      <c r="BZ3" s="259"/>
      <c r="CA3" s="18"/>
      <c r="CB3" s="257"/>
      <c r="CC3" s="258"/>
      <c r="CD3" s="258"/>
      <c r="CE3" s="259"/>
      <c r="CF3" s="18"/>
      <c r="CG3" s="257"/>
      <c r="CH3" s="258"/>
      <c r="CI3" s="258"/>
      <c r="CJ3" s="259"/>
      <c r="CK3" s="18"/>
      <c r="CL3" s="257"/>
      <c r="CM3" s="258"/>
      <c r="CN3" s="258"/>
      <c r="CO3" s="259"/>
      <c r="CP3" s="18"/>
      <c r="CQ3" s="31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</row>
    <row r="4" spans="1:130" ht="15" customHeight="1" thickBot="1" x14ac:dyDescent="0.3">
      <c r="A4" s="2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29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</row>
    <row r="5" spans="1:130" ht="15" customHeight="1" thickBot="1" x14ac:dyDescent="0.3">
      <c r="A5" s="28"/>
      <c r="B5" s="18"/>
      <c r="C5" s="18"/>
      <c r="D5" s="242" t="s">
        <v>9</v>
      </c>
      <c r="E5" s="243"/>
      <c r="F5" s="19"/>
      <c r="G5" s="266" t="str">
        <f>'Display Map'!C3</f>
        <v>Ace</v>
      </c>
      <c r="H5" s="267"/>
      <c r="I5" s="267"/>
      <c r="J5" s="268"/>
      <c r="K5" s="18"/>
      <c r="L5" s="266" t="str">
        <f>'Display Map'!D3</f>
        <v>King</v>
      </c>
      <c r="M5" s="267"/>
      <c r="N5" s="267"/>
      <c r="O5" s="268"/>
      <c r="P5" s="18"/>
      <c r="Q5" s="18"/>
      <c r="R5" s="18"/>
      <c r="S5" s="18"/>
      <c r="T5" s="18"/>
      <c r="U5" s="18"/>
      <c r="V5" s="220" t="b">
        <f>Selections!U3</f>
        <v>0</v>
      </c>
      <c r="W5" s="221"/>
      <c r="X5" s="224" t="str">
        <f>'Display Map'!G3</f>
        <v/>
      </c>
      <c r="Y5" s="225"/>
      <c r="Z5" s="225"/>
      <c r="AA5" s="226"/>
      <c r="AB5" s="18"/>
      <c r="AC5" s="18"/>
      <c r="AD5" s="224" t="str">
        <f>'Display Map'!K3</f>
        <v>5 - ♦</v>
      </c>
      <c r="AE5" s="225"/>
      <c r="AF5" s="225"/>
      <c r="AG5" s="226"/>
      <c r="AH5" s="18"/>
      <c r="AI5" s="224" t="str">
        <f>'Display Map'!L3</f>
        <v>10 - ♠</v>
      </c>
      <c r="AJ5" s="225"/>
      <c r="AK5" s="225"/>
      <c r="AL5" s="226"/>
      <c r="AM5" s="18"/>
      <c r="AN5" s="224" t="str">
        <f>'Display Map'!M3</f>
        <v>7 - ♣</v>
      </c>
      <c r="AO5" s="225"/>
      <c r="AP5" s="225"/>
      <c r="AQ5" s="226"/>
      <c r="AR5" s="18"/>
      <c r="AS5" s="224" t="str">
        <f>'Display Map'!N3</f>
        <v>A - ♣</v>
      </c>
      <c r="AT5" s="225"/>
      <c r="AU5" s="225"/>
      <c r="AV5" s="226"/>
      <c r="AW5" s="18"/>
      <c r="AX5" s="224" t="str">
        <f>'Display Map'!O3</f>
        <v>K - ♣</v>
      </c>
      <c r="AY5" s="225"/>
      <c r="AZ5" s="225"/>
      <c r="BA5" s="226"/>
      <c r="BB5" s="18"/>
      <c r="BC5" s="224" t="str">
        <f>'Display Map'!P3</f>
        <v>K - ♦</v>
      </c>
      <c r="BD5" s="225"/>
      <c r="BE5" s="225"/>
      <c r="BF5" s="226"/>
      <c r="BG5" s="18"/>
      <c r="BH5" s="224" t="str">
        <f>'Display Map'!Q3</f>
        <v>10 - ♠</v>
      </c>
      <c r="BI5" s="225"/>
      <c r="BJ5" s="225"/>
      <c r="BK5" s="226"/>
      <c r="BL5" s="18"/>
      <c r="BM5" s="224" t="str">
        <f>'Display Map'!R3</f>
        <v>Q - ♥</v>
      </c>
      <c r="BN5" s="225"/>
      <c r="BO5" s="225"/>
      <c r="BP5" s="226"/>
      <c r="BQ5" s="18"/>
      <c r="BR5" s="224" t="str">
        <f>'Display Map'!S3</f>
        <v>9 - ♦</v>
      </c>
      <c r="BS5" s="225"/>
      <c r="BT5" s="225"/>
      <c r="BU5" s="226"/>
      <c r="BV5" s="18"/>
      <c r="BW5" s="224" t="str">
        <f>'Display Map'!T3</f>
        <v>7 - ♥</v>
      </c>
      <c r="BX5" s="225"/>
      <c r="BY5" s="225"/>
      <c r="BZ5" s="226"/>
      <c r="CA5" s="18"/>
      <c r="CB5" s="224" t="str">
        <f>'Display Map'!U3</f>
        <v>9 - ♠</v>
      </c>
      <c r="CC5" s="225"/>
      <c r="CD5" s="225"/>
      <c r="CE5" s="226"/>
      <c r="CF5" s="18"/>
      <c r="CG5" s="224" t="str">
        <f>'Display Map'!V3</f>
        <v>2 - ♥</v>
      </c>
      <c r="CH5" s="225"/>
      <c r="CI5" s="225"/>
      <c r="CJ5" s="226"/>
      <c r="CK5" s="18"/>
      <c r="CL5" s="224" t="str">
        <f>'Display Map'!W3</f>
        <v>K - ♥</v>
      </c>
      <c r="CM5" s="225"/>
      <c r="CN5" s="225"/>
      <c r="CO5" s="226"/>
      <c r="CP5" s="18"/>
      <c r="CQ5" s="31" t="s">
        <v>411</v>
      </c>
      <c r="CR5" s="18"/>
      <c r="CS5" s="18"/>
      <c r="CT5" s="18"/>
      <c r="CU5" s="31">
        <f>Tables!AR6</f>
        <v>0</v>
      </c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</row>
    <row r="6" spans="1:130" ht="15" customHeight="1" thickBot="1" x14ac:dyDescent="0.3">
      <c r="A6" s="28"/>
      <c r="B6" s="18"/>
      <c r="C6" s="18"/>
      <c r="D6" s="244"/>
      <c r="E6" s="245"/>
      <c r="F6" s="18"/>
      <c r="G6" s="269"/>
      <c r="H6" s="270"/>
      <c r="I6" s="270"/>
      <c r="J6" s="271"/>
      <c r="K6" s="18"/>
      <c r="L6" s="269"/>
      <c r="M6" s="270"/>
      <c r="N6" s="270"/>
      <c r="O6" s="271"/>
      <c r="P6" s="18"/>
      <c r="Q6" s="18"/>
      <c r="R6" s="18"/>
      <c r="S6" s="18"/>
      <c r="T6" s="18"/>
      <c r="U6" s="18"/>
      <c r="V6" s="222"/>
      <c r="W6" s="223"/>
      <c r="X6" s="227"/>
      <c r="Y6" s="228"/>
      <c r="Z6" s="228"/>
      <c r="AA6" s="229"/>
      <c r="AB6" s="18"/>
      <c r="AC6" s="18"/>
      <c r="AD6" s="227"/>
      <c r="AE6" s="228"/>
      <c r="AF6" s="228"/>
      <c r="AG6" s="229"/>
      <c r="AH6" s="18"/>
      <c r="AI6" s="227"/>
      <c r="AJ6" s="228"/>
      <c r="AK6" s="228"/>
      <c r="AL6" s="229"/>
      <c r="AM6" s="18"/>
      <c r="AN6" s="227"/>
      <c r="AO6" s="228"/>
      <c r="AP6" s="228"/>
      <c r="AQ6" s="229"/>
      <c r="AR6" s="18"/>
      <c r="AS6" s="227"/>
      <c r="AT6" s="228"/>
      <c r="AU6" s="228"/>
      <c r="AV6" s="229"/>
      <c r="AW6" s="18"/>
      <c r="AX6" s="227"/>
      <c r="AY6" s="228"/>
      <c r="AZ6" s="228"/>
      <c r="BA6" s="229"/>
      <c r="BB6" s="18"/>
      <c r="BC6" s="227"/>
      <c r="BD6" s="228"/>
      <c r="BE6" s="228"/>
      <c r="BF6" s="229"/>
      <c r="BG6" s="18"/>
      <c r="BH6" s="227"/>
      <c r="BI6" s="228"/>
      <c r="BJ6" s="228"/>
      <c r="BK6" s="229"/>
      <c r="BL6" s="18"/>
      <c r="BM6" s="227"/>
      <c r="BN6" s="228"/>
      <c r="BO6" s="228"/>
      <c r="BP6" s="229"/>
      <c r="BQ6" s="18"/>
      <c r="BR6" s="227"/>
      <c r="BS6" s="228"/>
      <c r="BT6" s="228"/>
      <c r="BU6" s="229"/>
      <c r="BV6" s="18"/>
      <c r="BW6" s="227"/>
      <c r="BX6" s="228"/>
      <c r="BY6" s="228"/>
      <c r="BZ6" s="229"/>
      <c r="CA6" s="18"/>
      <c r="CB6" s="227"/>
      <c r="CC6" s="228"/>
      <c r="CD6" s="228"/>
      <c r="CE6" s="229"/>
      <c r="CF6" s="18"/>
      <c r="CG6" s="227"/>
      <c r="CH6" s="228"/>
      <c r="CI6" s="228"/>
      <c r="CJ6" s="229"/>
      <c r="CK6" s="18"/>
      <c r="CL6" s="227"/>
      <c r="CM6" s="228"/>
      <c r="CN6" s="228"/>
      <c r="CO6" s="229"/>
      <c r="CP6" s="18"/>
      <c r="CQ6" s="31" t="s">
        <v>478</v>
      </c>
      <c r="CR6" s="18"/>
      <c r="CS6" s="18"/>
      <c r="CT6" s="18"/>
      <c r="CU6" s="18">
        <f>Tables!AR7</f>
        <v>0</v>
      </c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</row>
    <row r="7" spans="1:130" ht="15" customHeight="1" x14ac:dyDescent="0.25">
      <c r="A7" s="28"/>
      <c r="B7" s="18"/>
      <c r="C7" s="18"/>
      <c r="D7" s="244"/>
      <c r="E7" s="245"/>
      <c r="F7" s="18"/>
      <c r="I7" s="220" t="b">
        <f>Selections!I3</f>
        <v>0</v>
      </c>
      <c r="J7" s="221"/>
      <c r="K7" s="18"/>
      <c r="L7" s="18"/>
      <c r="M7" s="18"/>
      <c r="N7" s="220" t="b">
        <f>Selections!I7</f>
        <v>0</v>
      </c>
      <c r="O7" s="221"/>
      <c r="P7" s="18"/>
      <c r="Q7" s="18"/>
      <c r="R7" s="18"/>
      <c r="S7" s="18"/>
      <c r="T7" s="18"/>
      <c r="U7" s="18"/>
      <c r="V7" s="220" t="b">
        <f>Selections!U4</f>
        <v>0</v>
      </c>
      <c r="W7" s="221"/>
      <c r="X7" s="224" t="str">
        <f>'Display Map'!G4</f>
        <v/>
      </c>
      <c r="Y7" s="225"/>
      <c r="Z7" s="225"/>
      <c r="AA7" s="226"/>
      <c r="AB7" s="18"/>
      <c r="AC7" s="18"/>
      <c r="AD7" s="224" t="str">
        <f>'Display Map'!K4</f>
        <v>5 - ♠</v>
      </c>
      <c r="AE7" s="225"/>
      <c r="AF7" s="225"/>
      <c r="AG7" s="226"/>
      <c r="AH7" s="18"/>
      <c r="AI7" s="224" t="str">
        <f>'Display Map'!L4</f>
        <v>4 - ♣</v>
      </c>
      <c r="AJ7" s="225"/>
      <c r="AK7" s="225"/>
      <c r="AL7" s="226"/>
      <c r="AM7" s="18"/>
      <c r="AN7" s="224" t="str">
        <f>'Display Map'!M4</f>
        <v>5 - ♠</v>
      </c>
      <c r="AO7" s="225"/>
      <c r="AP7" s="225"/>
      <c r="AQ7" s="226"/>
      <c r="AR7" s="18"/>
      <c r="AS7" s="224" t="str">
        <f>'Display Map'!N4</f>
        <v>8 - ♦</v>
      </c>
      <c r="AT7" s="225"/>
      <c r="AU7" s="225"/>
      <c r="AV7" s="226"/>
      <c r="AW7" s="18"/>
      <c r="AX7" s="224" t="str">
        <f>'Display Map'!O4</f>
        <v>J - ♣</v>
      </c>
      <c r="AY7" s="225"/>
      <c r="AZ7" s="225"/>
      <c r="BA7" s="226"/>
      <c r="BB7" s="18"/>
      <c r="BC7" s="224" t="str">
        <f>'Display Map'!P4</f>
        <v>7 - ♦</v>
      </c>
      <c r="BD7" s="225"/>
      <c r="BE7" s="225"/>
      <c r="BF7" s="226"/>
      <c r="BG7" s="18"/>
      <c r="BH7" s="224" t="str">
        <f>'Display Map'!Q4</f>
        <v>A - ♥</v>
      </c>
      <c r="BI7" s="225"/>
      <c r="BJ7" s="225"/>
      <c r="BK7" s="226"/>
      <c r="BL7" s="18"/>
      <c r="BM7" s="224" t="str">
        <f>'Display Map'!R4</f>
        <v>8 - ♠</v>
      </c>
      <c r="BN7" s="225"/>
      <c r="BO7" s="225"/>
      <c r="BP7" s="226"/>
      <c r="BQ7" s="18"/>
      <c r="BR7" s="224" t="str">
        <f>'Display Map'!S4</f>
        <v>A - ♠</v>
      </c>
      <c r="BS7" s="225"/>
      <c r="BT7" s="225"/>
      <c r="BU7" s="226"/>
      <c r="BV7" s="18"/>
      <c r="BW7" s="224" t="str">
        <f>'Display Map'!T4</f>
        <v>3 - ♦</v>
      </c>
      <c r="BX7" s="225"/>
      <c r="BY7" s="225"/>
      <c r="BZ7" s="226"/>
      <c r="CA7" s="18"/>
      <c r="CB7" s="224" t="str">
        <f>'Display Map'!U4</f>
        <v>5 - ♥</v>
      </c>
      <c r="CC7" s="225"/>
      <c r="CD7" s="225"/>
      <c r="CE7" s="226"/>
      <c r="CF7" s="18"/>
      <c r="CG7" s="224" t="str">
        <f>'Display Map'!V4</f>
        <v>10 - ♦</v>
      </c>
      <c r="CH7" s="225"/>
      <c r="CI7" s="225"/>
      <c r="CJ7" s="226"/>
      <c r="CK7" s="18"/>
      <c r="CL7" s="224" t="str">
        <f>'Display Map'!W4</f>
        <v>2 - ♣</v>
      </c>
      <c r="CM7" s="225"/>
      <c r="CN7" s="225"/>
      <c r="CO7" s="226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</row>
    <row r="8" spans="1:130" ht="15" customHeight="1" thickBot="1" x14ac:dyDescent="0.3">
      <c r="A8" s="28"/>
      <c r="B8" s="18"/>
      <c r="C8" s="18"/>
      <c r="D8" s="244"/>
      <c r="E8" s="245"/>
      <c r="F8" s="18"/>
      <c r="I8" s="222"/>
      <c r="J8" s="223"/>
      <c r="K8" s="18"/>
      <c r="L8" s="18"/>
      <c r="M8" s="18"/>
      <c r="N8" s="222"/>
      <c r="O8" s="223"/>
      <c r="P8" s="18"/>
      <c r="Q8" s="18"/>
      <c r="R8" s="18"/>
      <c r="S8" s="18"/>
      <c r="T8" s="18"/>
      <c r="U8" s="18"/>
      <c r="V8" s="222"/>
      <c r="W8" s="223"/>
      <c r="X8" s="227"/>
      <c r="Y8" s="228"/>
      <c r="Z8" s="228"/>
      <c r="AA8" s="229"/>
      <c r="AB8" s="18"/>
      <c r="AC8" s="18"/>
      <c r="AD8" s="227"/>
      <c r="AE8" s="228"/>
      <c r="AF8" s="228"/>
      <c r="AG8" s="229"/>
      <c r="AH8" s="18"/>
      <c r="AI8" s="227"/>
      <c r="AJ8" s="228"/>
      <c r="AK8" s="228"/>
      <c r="AL8" s="229"/>
      <c r="AM8" s="18"/>
      <c r="AN8" s="227"/>
      <c r="AO8" s="228"/>
      <c r="AP8" s="228"/>
      <c r="AQ8" s="229"/>
      <c r="AR8" s="18"/>
      <c r="AS8" s="227"/>
      <c r="AT8" s="228"/>
      <c r="AU8" s="228"/>
      <c r="AV8" s="229"/>
      <c r="AW8" s="18"/>
      <c r="AX8" s="227"/>
      <c r="AY8" s="228"/>
      <c r="AZ8" s="228"/>
      <c r="BA8" s="229"/>
      <c r="BB8" s="18"/>
      <c r="BC8" s="227"/>
      <c r="BD8" s="228"/>
      <c r="BE8" s="228"/>
      <c r="BF8" s="229"/>
      <c r="BG8" s="18"/>
      <c r="BH8" s="227"/>
      <c r="BI8" s="228"/>
      <c r="BJ8" s="228"/>
      <c r="BK8" s="229"/>
      <c r="BL8" s="18"/>
      <c r="BM8" s="227"/>
      <c r="BN8" s="228"/>
      <c r="BO8" s="228"/>
      <c r="BP8" s="229"/>
      <c r="BQ8" s="18"/>
      <c r="BR8" s="227"/>
      <c r="BS8" s="228"/>
      <c r="BT8" s="228"/>
      <c r="BU8" s="229"/>
      <c r="BV8" s="18"/>
      <c r="BW8" s="227"/>
      <c r="BX8" s="228"/>
      <c r="BY8" s="228"/>
      <c r="BZ8" s="229"/>
      <c r="CA8" s="18"/>
      <c r="CB8" s="227"/>
      <c r="CC8" s="228"/>
      <c r="CD8" s="228"/>
      <c r="CE8" s="229"/>
      <c r="CF8" s="18"/>
      <c r="CG8" s="227"/>
      <c r="CH8" s="228"/>
      <c r="CI8" s="228"/>
      <c r="CJ8" s="229"/>
      <c r="CK8" s="18"/>
      <c r="CL8" s="227"/>
      <c r="CM8" s="228"/>
      <c r="CN8" s="228"/>
      <c r="CO8" s="229"/>
      <c r="CP8" s="18"/>
      <c r="CQ8" s="18" t="s">
        <v>542</v>
      </c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</row>
    <row r="9" spans="1:130" ht="15" customHeight="1" thickBot="1" x14ac:dyDescent="0.3">
      <c r="A9" s="28"/>
      <c r="B9" s="18"/>
      <c r="C9" s="18"/>
      <c r="D9" s="244"/>
      <c r="E9" s="245"/>
      <c r="F9" s="18"/>
      <c r="I9" s="220"/>
      <c r="J9" s="221"/>
      <c r="K9" s="18"/>
      <c r="L9" s="124"/>
      <c r="M9" s="124"/>
      <c r="N9" s="220"/>
      <c r="O9" s="221"/>
      <c r="P9" s="18"/>
      <c r="Q9" s="18"/>
      <c r="R9" s="18"/>
      <c r="S9" s="18"/>
      <c r="T9" s="18"/>
      <c r="U9" s="18"/>
      <c r="V9" s="220" t="b">
        <f>Selections!U5</f>
        <v>0</v>
      </c>
      <c r="W9" s="221"/>
      <c r="X9" s="224" t="str">
        <f>'Display Map'!G5</f>
        <v/>
      </c>
      <c r="Y9" s="225"/>
      <c r="Z9" s="225"/>
      <c r="AA9" s="226"/>
      <c r="AB9" s="18"/>
      <c r="AC9" s="18"/>
      <c r="AD9" s="224" t="str">
        <f>'Display Map'!K5</f>
        <v>4 - ♣</v>
      </c>
      <c r="AE9" s="225"/>
      <c r="AF9" s="225"/>
      <c r="AG9" s="226"/>
      <c r="AH9" s="18"/>
      <c r="AI9" s="224" t="str">
        <f>'Display Map'!L5</f>
        <v>6 - ♦</v>
      </c>
      <c r="AJ9" s="225"/>
      <c r="AK9" s="225"/>
      <c r="AL9" s="226"/>
      <c r="AM9" s="18"/>
      <c r="AN9" s="224" t="str">
        <f>'Display Map'!M5</f>
        <v>J - ♥</v>
      </c>
      <c r="AO9" s="225"/>
      <c r="AP9" s="225"/>
      <c r="AQ9" s="226"/>
      <c r="AR9" s="18"/>
      <c r="AS9" s="224" t="str">
        <f>'Display Map'!N5</f>
        <v>7 - ♠</v>
      </c>
      <c r="AT9" s="225"/>
      <c r="AU9" s="225"/>
      <c r="AV9" s="226"/>
      <c r="AW9" s="18"/>
      <c r="AX9" s="224" t="str">
        <f>'Display Map'!O5</f>
        <v>Q - ♣</v>
      </c>
      <c r="AY9" s="225"/>
      <c r="AZ9" s="225"/>
      <c r="BA9" s="226"/>
      <c r="BB9" s="18"/>
      <c r="BC9" s="224" t="str">
        <f>'Display Map'!P5</f>
        <v>8 - ♥</v>
      </c>
      <c r="BD9" s="225"/>
      <c r="BE9" s="225"/>
      <c r="BF9" s="226"/>
      <c r="BG9" s="18"/>
      <c r="BH9" s="224" t="str">
        <f>'Display Map'!Q5</f>
        <v>6 - ♣</v>
      </c>
      <c r="BI9" s="225"/>
      <c r="BJ9" s="225"/>
      <c r="BK9" s="226"/>
      <c r="BL9" s="18"/>
      <c r="BM9" s="224" t="str">
        <f>'Display Map'!R5</f>
        <v>Q - ♦</v>
      </c>
      <c r="BN9" s="225"/>
      <c r="BO9" s="225"/>
      <c r="BP9" s="226"/>
      <c r="BQ9" s="18"/>
      <c r="BR9" s="224" t="str">
        <f>'Display Map'!S5</f>
        <v>9 - ♥</v>
      </c>
      <c r="BS9" s="225"/>
      <c r="BT9" s="225"/>
      <c r="BU9" s="226"/>
      <c r="BV9" s="18"/>
      <c r="BW9" s="224" t="str">
        <f>'Display Map'!T5</f>
        <v>3 - ♥</v>
      </c>
      <c r="BX9" s="225"/>
      <c r="BY9" s="225"/>
      <c r="BZ9" s="226"/>
      <c r="CA9" s="18"/>
      <c r="CB9" s="224" t="str">
        <f>'Display Map'!U5</f>
        <v>A - ♠</v>
      </c>
      <c r="CC9" s="225"/>
      <c r="CD9" s="225"/>
      <c r="CE9" s="226"/>
      <c r="CF9" s="18"/>
      <c r="CG9" s="224" t="str">
        <f>'Display Map'!V5</f>
        <v>J - ♥</v>
      </c>
      <c r="CH9" s="225"/>
      <c r="CI9" s="225"/>
      <c r="CJ9" s="226"/>
      <c r="CK9" s="18"/>
      <c r="CL9" s="224" t="str">
        <f>'Display Map'!W5</f>
        <v>Q - ♠</v>
      </c>
      <c r="CM9" s="225"/>
      <c r="CN9" s="225"/>
      <c r="CO9" s="226"/>
      <c r="CP9" s="18" t="s">
        <v>115</v>
      </c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</row>
    <row r="10" spans="1:130" ht="15" customHeight="1" thickBot="1" x14ac:dyDescent="0.3">
      <c r="A10" s="28"/>
      <c r="B10" s="18"/>
      <c r="C10" s="18"/>
      <c r="D10" s="246"/>
      <c r="E10" s="247"/>
      <c r="F10" s="18"/>
      <c r="I10" s="222"/>
      <c r="J10" s="223"/>
      <c r="K10" s="18"/>
      <c r="L10" s="124"/>
      <c r="M10" s="124"/>
      <c r="N10" s="222"/>
      <c r="O10" s="223"/>
      <c r="P10" s="18"/>
      <c r="Q10" s="18"/>
      <c r="R10" s="18"/>
      <c r="S10" s="18"/>
      <c r="T10" s="18"/>
      <c r="U10" s="18"/>
      <c r="V10" s="222"/>
      <c r="W10" s="223"/>
      <c r="X10" s="227"/>
      <c r="Y10" s="228"/>
      <c r="Z10" s="228"/>
      <c r="AA10" s="229"/>
      <c r="AB10" s="18"/>
      <c r="AC10" s="18"/>
      <c r="AD10" s="227"/>
      <c r="AE10" s="228"/>
      <c r="AF10" s="228"/>
      <c r="AG10" s="229"/>
      <c r="AH10" s="18"/>
      <c r="AI10" s="227"/>
      <c r="AJ10" s="228"/>
      <c r="AK10" s="228"/>
      <c r="AL10" s="229"/>
      <c r="AM10" s="18"/>
      <c r="AN10" s="227"/>
      <c r="AO10" s="228"/>
      <c r="AP10" s="228"/>
      <c r="AQ10" s="229"/>
      <c r="AR10" s="18"/>
      <c r="AS10" s="227"/>
      <c r="AT10" s="228"/>
      <c r="AU10" s="228"/>
      <c r="AV10" s="229"/>
      <c r="AW10" s="18"/>
      <c r="AX10" s="227"/>
      <c r="AY10" s="228"/>
      <c r="AZ10" s="228"/>
      <c r="BA10" s="229"/>
      <c r="BB10" s="18"/>
      <c r="BC10" s="227"/>
      <c r="BD10" s="228"/>
      <c r="BE10" s="228"/>
      <c r="BF10" s="229"/>
      <c r="BG10" s="18"/>
      <c r="BH10" s="227"/>
      <c r="BI10" s="228"/>
      <c r="BJ10" s="228"/>
      <c r="BK10" s="229"/>
      <c r="BL10" s="18"/>
      <c r="BM10" s="227"/>
      <c r="BN10" s="228"/>
      <c r="BO10" s="228"/>
      <c r="BP10" s="229"/>
      <c r="BQ10" s="18"/>
      <c r="BR10" s="227"/>
      <c r="BS10" s="228"/>
      <c r="BT10" s="228"/>
      <c r="BU10" s="229"/>
      <c r="BV10" s="18"/>
      <c r="BW10" s="227"/>
      <c r="BX10" s="228"/>
      <c r="BY10" s="228"/>
      <c r="BZ10" s="229"/>
      <c r="CA10" s="18"/>
      <c r="CB10" s="227"/>
      <c r="CC10" s="228"/>
      <c r="CD10" s="228"/>
      <c r="CE10" s="229"/>
      <c r="CF10" s="18"/>
      <c r="CG10" s="227"/>
      <c r="CH10" s="228"/>
      <c r="CI10" s="228"/>
      <c r="CJ10" s="229"/>
      <c r="CK10" s="18"/>
      <c r="CL10" s="227"/>
      <c r="CM10" s="228"/>
      <c r="CN10" s="228"/>
      <c r="CO10" s="229"/>
      <c r="CP10" s="18"/>
      <c r="CQ10" s="178" t="s">
        <v>481</v>
      </c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K10" s="18" t="s">
        <v>537</v>
      </c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</row>
    <row r="11" spans="1:130" ht="15" customHeight="1" thickBot="1" x14ac:dyDescent="0.3">
      <c r="A11" s="2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25"/>
      <c r="M11" s="125"/>
      <c r="N11" s="18"/>
      <c r="O11" s="18"/>
      <c r="P11" s="18"/>
      <c r="Q11" s="18"/>
      <c r="R11" s="18"/>
      <c r="S11" s="18"/>
      <c r="T11" s="18"/>
      <c r="U11" s="18"/>
      <c r="V11" s="220" t="b">
        <f>Selections!U6</f>
        <v>0</v>
      </c>
      <c r="W11" s="221"/>
      <c r="X11" s="224" t="str">
        <f>'Display Map'!G6</f>
        <v/>
      </c>
      <c r="Y11" s="225"/>
      <c r="Z11" s="225"/>
      <c r="AA11" s="226"/>
      <c r="AB11" s="18"/>
      <c r="AC11" s="18"/>
      <c r="AD11" s="224" t="str">
        <f>'Display Map'!K6</f>
        <v>J - ♠</v>
      </c>
      <c r="AE11" s="225"/>
      <c r="AF11" s="225"/>
      <c r="AG11" s="226"/>
      <c r="AH11" s="18"/>
      <c r="AI11" s="224" t="str">
        <f>'Display Map'!L6</f>
        <v>9 - ♦</v>
      </c>
      <c r="AJ11" s="225"/>
      <c r="AK11" s="225"/>
      <c r="AL11" s="226"/>
      <c r="AM11" s="18"/>
      <c r="AN11" s="224" t="str">
        <f>'Display Map'!M6</f>
        <v>A - ♦</v>
      </c>
      <c r="AO11" s="225"/>
      <c r="AP11" s="225"/>
      <c r="AQ11" s="226"/>
      <c r="AR11" s="18"/>
      <c r="AS11" s="224" t="str">
        <f>'Display Map'!N6</f>
        <v>3 - ♣</v>
      </c>
      <c r="AT11" s="225"/>
      <c r="AU11" s="225"/>
      <c r="AV11" s="226"/>
      <c r="AW11" s="18"/>
      <c r="AX11" s="224" t="str">
        <f>'Display Map'!O6</f>
        <v>Q - ♥</v>
      </c>
      <c r="AY11" s="225"/>
      <c r="AZ11" s="225"/>
      <c r="BA11" s="226"/>
      <c r="BB11" s="18"/>
      <c r="BC11" s="224" t="str">
        <f>'Display Map'!P6</f>
        <v>3 - ♣</v>
      </c>
      <c r="BD11" s="225"/>
      <c r="BE11" s="225"/>
      <c r="BF11" s="226"/>
      <c r="BG11" s="18"/>
      <c r="BH11" s="224" t="str">
        <f>'Display Map'!Q6</f>
        <v>9 - ♣</v>
      </c>
      <c r="BI11" s="225"/>
      <c r="BJ11" s="225"/>
      <c r="BK11" s="226"/>
      <c r="BL11" s="18"/>
      <c r="BM11" s="224" t="str">
        <f>'Display Map'!R6</f>
        <v>J - ♦</v>
      </c>
      <c r="BN11" s="225"/>
      <c r="BO11" s="225"/>
      <c r="BP11" s="226"/>
      <c r="BQ11" s="18"/>
      <c r="BR11" s="224" t="str">
        <f>'Display Map'!S6</f>
        <v>2 - ♣</v>
      </c>
      <c r="BS11" s="225"/>
      <c r="BT11" s="225"/>
      <c r="BU11" s="226"/>
      <c r="BV11" s="18"/>
      <c r="BW11" s="224" t="str">
        <f>'Display Map'!T6</f>
        <v>K - ♠</v>
      </c>
      <c r="BX11" s="225"/>
      <c r="BY11" s="225"/>
      <c r="BZ11" s="226"/>
      <c r="CA11" s="18"/>
      <c r="CB11" s="224" t="str">
        <f>'Display Map'!U6</f>
        <v>6 - ♣</v>
      </c>
      <c r="CC11" s="225"/>
      <c r="CD11" s="225"/>
      <c r="CE11" s="226"/>
      <c r="CF11" s="18"/>
      <c r="CG11" s="224" t="str">
        <f>'Display Map'!V6</f>
        <v>9 - ♥</v>
      </c>
      <c r="CH11" s="225"/>
      <c r="CI11" s="225"/>
      <c r="CJ11" s="226"/>
      <c r="CK11" s="18"/>
      <c r="CL11" s="224" t="str">
        <f>'Display Map'!W6</f>
        <v>5 - ♣</v>
      </c>
      <c r="CM11" s="225"/>
      <c r="CN11" s="225"/>
      <c r="CO11" s="226"/>
      <c r="CP11" s="186"/>
      <c r="CQ11" s="18"/>
      <c r="CR11" s="182">
        <v>1</v>
      </c>
      <c r="CS11" s="183">
        <v>2</v>
      </c>
      <c r="CT11" s="183">
        <v>3</v>
      </c>
      <c r="CU11" s="183">
        <v>4</v>
      </c>
      <c r="CV11" s="183">
        <v>5</v>
      </c>
      <c r="CW11" s="183">
        <v>6</v>
      </c>
      <c r="CX11" s="183">
        <v>7</v>
      </c>
      <c r="CY11" s="183">
        <v>8</v>
      </c>
      <c r="CZ11" s="183">
        <v>9</v>
      </c>
      <c r="DA11" s="183">
        <v>10</v>
      </c>
      <c r="DB11" s="183">
        <v>11</v>
      </c>
      <c r="DC11" s="183">
        <v>12</v>
      </c>
      <c r="DD11" s="183">
        <v>13</v>
      </c>
      <c r="DE11" s="183">
        <v>14</v>
      </c>
      <c r="DF11" s="184">
        <v>15</v>
      </c>
      <c r="DG11" s="18"/>
      <c r="DH11" s="18"/>
      <c r="DI11" s="18"/>
      <c r="DK11" s="18"/>
      <c r="DL11" s="182">
        <v>1</v>
      </c>
      <c r="DM11" s="183">
        <v>2</v>
      </c>
      <c r="DN11" s="183">
        <v>3</v>
      </c>
      <c r="DO11" s="183">
        <v>4</v>
      </c>
      <c r="DP11" s="183">
        <v>5</v>
      </c>
      <c r="DQ11" s="183">
        <v>6</v>
      </c>
      <c r="DR11" s="183">
        <v>7</v>
      </c>
      <c r="DS11" s="183">
        <v>8</v>
      </c>
      <c r="DT11" s="183">
        <v>9</v>
      </c>
      <c r="DU11" s="184">
        <v>10</v>
      </c>
      <c r="DV11" s="18"/>
      <c r="DW11" s="18"/>
      <c r="DX11" s="18"/>
      <c r="DY11" s="18"/>
      <c r="DZ11" s="18"/>
    </row>
    <row r="12" spans="1:130" ht="15" customHeight="1" thickBot="1" x14ac:dyDescent="0.3">
      <c r="A12" s="18"/>
      <c r="B12" s="18"/>
      <c r="C12" s="18"/>
      <c r="D12" s="230" t="s">
        <v>11</v>
      </c>
      <c r="E12" s="231"/>
      <c r="F12" s="18"/>
      <c r="G12" s="236" t="str">
        <f>'Display Map'!C4</f>
        <v>Ace</v>
      </c>
      <c r="H12" s="237"/>
      <c r="I12" s="237"/>
      <c r="J12" s="238"/>
      <c r="K12" s="18"/>
      <c r="L12" s="236" t="str">
        <f>'Display Map'!D4</f>
        <v>King</v>
      </c>
      <c r="M12" s="237"/>
      <c r="N12" s="237"/>
      <c r="O12" s="238"/>
      <c r="P12" s="18"/>
      <c r="Q12" s="18"/>
      <c r="R12" s="18"/>
      <c r="S12" s="18"/>
      <c r="T12" s="18"/>
      <c r="U12" s="18"/>
      <c r="V12" s="222"/>
      <c r="W12" s="223"/>
      <c r="X12" s="227"/>
      <c r="Y12" s="228"/>
      <c r="Z12" s="228"/>
      <c r="AA12" s="229"/>
      <c r="AB12" s="18"/>
      <c r="AC12" s="18"/>
      <c r="AD12" s="227"/>
      <c r="AE12" s="228"/>
      <c r="AF12" s="228"/>
      <c r="AG12" s="229"/>
      <c r="AH12" s="18"/>
      <c r="AI12" s="227"/>
      <c r="AJ12" s="228"/>
      <c r="AK12" s="228"/>
      <c r="AL12" s="229"/>
      <c r="AM12" s="18"/>
      <c r="AN12" s="227"/>
      <c r="AO12" s="228"/>
      <c r="AP12" s="228"/>
      <c r="AQ12" s="229"/>
      <c r="AR12" s="18"/>
      <c r="AS12" s="227"/>
      <c r="AT12" s="228"/>
      <c r="AU12" s="228"/>
      <c r="AV12" s="229"/>
      <c r="AW12" s="18"/>
      <c r="AX12" s="227"/>
      <c r="AY12" s="228"/>
      <c r="AZ12" s="228"/>
      <c r="BA12" s="229"/>
      <c r="BB12" s="18"/>
      <c r="BC12" s="227"/>
      <c r="BD12" s="228"/>
      <c r="BE12" s="228"/>
      <c r="BF12" s="229"/>
      <c r="BG12" s="18"/>
      <c r="BH12" s="227"/>
      <c r="BI12" s="228"/>
      <c r="BJ12" s="228"/>
      <c r="BK12" s="229"/>
      <c r="BL12" s="18"/>
      <c r="BM12" s="227"/>
      <c r="BN12" s="228"/>
      <c r="BO12" s="228"/>
      <c r="BP12" s="229"/>
      <c r="BQ12" s="18"/>
      <c r="BR12" s="227"/>
      <c r="BS12" s="228"/>
      <c r="BT12" s="228"/>
      <c r="BU12" s="229"/>
      <c r="BV12" s="18"/>
      <c r="BW12" s="227"/>
      <c r="BX12" s="228"/>
      <c r="BY12" s="228"/>
      <c r="BZ12" s="229"/>
      <c r="CA12" s="18"/>
      <c r="CB12" s="227"/>
      <c r="CC12" s="228"/>
      <c r="CD12" s="228"/>
      <c r="CE12" s="229"/>
      <c r="CF12" s="18"/>
      <c r="CG12" s="227"/>
      <c r="CH12" s="228"/>
      <c r="CI12" s="228"/>
      <c r="CJ12" s="229"/>
      <c r="CK12" s="18"/>
      <c r="CL12" s="227"/>
      <c r="CM12" s="228"/>
      <c r="CN12" s="228"/>
      <c r="CO12" s="229"/>
      <c r="CP12" s="18"/>
      <c r="CQ12" s="185">
        <v>1</v>
      </c>
      <c r="CR12" s="192" t="str">
        <f>IFERROR(VLOOKUP(VLOOKUP($CU$5,'Move History'!$A$2:$NB$516,(15*($CQ12-1))+CR$11+1,0),Tables!$AX$2:$BD$53,7,0),0)</f>
        <v>5♦</v>
      </c>
      <c r="CS12" s="193" t="str">
        <f>IFERROR(VLOOKUP(VLOOKUP($CU$5,'Move History'!$A$2:$NB$516,(15*($CQ12-1))+CS$11+1,0),Tables!$AX$2:$BD$53,7,0),0)</f>
        <v>5♠</v>
      </c>
      <c r="CT12" s="193" t="str">
        <f>IFERROR(VLOOKUP(VLOOKUP($CU$5,'Move History'!$A$2:$NB$516,(15*($CQ12-1))+CT$11+1,0),Tables!$AX$2:$BD$53,7,0),0)</f>
        <v>4♣</v>
      </c>
      <c r="CU12" s="193" t="str">
        <f>IFERROR(VLOOKUP(VLOOKUP($CU$5,'Move History'!$A$2:$NB$516,(15*($CQ12-1))+CU$11+1,0),Tables!$AX$2:$BD$53,7,0),0)</f>
        <v>J♠</v>
      </c>
      <c r="CV12" s="193" t="str">
        <f>IFERROR(VLOOKUP(VLOOKUP($CU$5,'Move History'!$A$2:$NB$516,(15*($CQ12-1))+CV$11+1,0),Tables!$AX$2:$BD$53,7,0),0)</f>
        <v>X♥</v>
      </c>
      <c r="CW12" s="193" t="str">
        <f>IFERROR(VLOOKUP(VLOOKUP($CU$5,'Move History'!$A$2:$NB$516,(15*($CQ12-1))+CW$11+1,0),Tables!$AX$2:$BD$53,7,0),0)</f>
        <v>8♣</v>
      </c>
      <c r="CX12" s="193" t="str">
        <f>IFERROR(VLOOKUP(VLOOKUP($CU$5,'Move History'!$A$2:$NB$516,(15*($CQ12-1))+CX$11+1,0),Tables!$AX$2:$BD$53,7,0),0)</f>
        <v>9♣</v>
      </c>
      <c r="CY12" s="193">
        <f>IFERROR(VLOOKUP(VLOOKUP($CU$5,'Move History'!$A$2:$NB$516,(15*($CQ12-1))+CY$11+1,0),Tables!$AX$2:$BD$53,7,0),0)</f>
        <v>0</v>
      </c>
      <c r="CZ12" s="193">
        <f>IFERROR(VLOOKUP(VLOOKUP($CU$5,'Move History'!$A$2:$NB$516,(15*($CQ12-1))+CZ$11+1,0),Tables!$AX$2:$BD$53,7,0),0)</f>
        <v>0</v>
      </c>
      <c r="DA12" s="193">
        <f>IFERROR(VLOOKUP(VLOOKUP($CU$5,'Move History'!$A$2:$NB$516,(15*($CQ12-1))+DA$11+1,0),Tables!$AX$2:$BD$53,7,0),0)</f>
        <v>0</v>
      </c>
      <c r="DB12" s="193">
        <f>IFERROR(VLOOKUP(VLOOKUP($CU$5,'Move History'!$A$2:$NB$516,(15*($CQ12-1))+DB$11+1,0),Tables!$AX$2:$BD$53,7,0),0)</f>
        <v>0</v>
      </c>
      <c r="DC12" s="193">
        <f>IFERROR(VLOOKUP(VLOOKUP($CU$5,'Move History'!$A$2:$NB$516,(15*($CQ12-1))+DC$11+1,0),Tables!$AX$2:$BD$53,7,0),0)</f>
        <v>0</v>
      </c>
      <c r="DD12" s="193">
        <f>IFERROR(VLOOKUP(VLOOKUP($CU$5,'Move History'!$A$2:$NB$516,(15*($CQ12-1))+DD$11+1,0),Tables!$AX$2:$BD$53,7,0),0)</f>
        <v>0</v>
      </c>
      <c r="DE12" s="193">
        <f>IFERROR(VLOOKUP(VLOOKUP($CU$5,'Move History'!$A$2:$NB$516,(15*($CQ12-1))+DE$11+1,0),Tables!$AX$2:$BD$53,7,0),0)</f>
        <v>0</v>
      </c>
      <c r="DF12" s="194">
        <f>IFERROR(VLOOKUP(VLOOKUP($CU$5,'Move History'!$A$2:$NB$516,(15*($CQ12-1))+DF$11+1,0),Tables!$AX$2:$BD$53,7,0),0)</f>
        <v>0</v>
      </c>
      <c r="DG12" s="18"/>
      <c r="DH12" s="18"/>
      <c r="DI12" s="18"/>
      <c r="DK12" s="202">
        <v>1</v>
      </c>
      <c r="DL12" s="179" t="str">
        <f>IFERROR(VLOOKUP(VLOOKUP($CU$5,'Move History'!$A$2:$NB$516,(10*($DK12-1))+DL$11+196,0),Tables!$AX$2:$BD$53,7,0),0)</f>
        <v>2♦</v>
      </c>
      <c r="DM12" s="180" t="str">
        <f>IFERROR(VLOOKUP(VLOOKUP($CU$5,'Move History'!$A$2:$NB$516,(10*($DK12-1))+DM$11+196,0),Tables!$AX$2:$BD$53,7,0),0)</f>
        <v>3♠</v>
      </c>
      <c r="DN12" s="180" t="str">
        <f>IFERROR(VLOOKUP(VLOOKUP($CU$5,'Move History'!$A$2:$NB$516,(10*($DK12-1))+DN$11+196,0),Tables!$AX$2:$BD$53,7,0),0)</f>
        <v>7♠</v>
      </c>
      <c r="DO12" s="180" t="str">
        <f>IFERROR(VLOOKUP(VLOOKUP($CU$5,'Move History'!$A$2:$NB$516,(10*($DK12-1))+DO$11+196,0),Tables!$AX$2:$BD$53,7,0),0)</f>
        <v>8♥</v>
      </c>
      <c r="DP12" s="180" t="str">
        <f>IFERROR(VLOOKUP(VLOOKUP($CU$5,'Move History'!$A$2:$NB$516,(10*($DK12-1))+DP$11+196,0),Tables!$AX$2:$BD$53,7,0),0)</f>
        <v>X♣</v>
      </c>
      <c r="DQ12" s="180" t="str">
        <f>IFERROR(VLOOKUP(VLOOKUP($CU$5,'Move History'!$A$2:$NB$516,(10*($DK12-1))+DQ$11+196,0),Tables!$AX$2:$BD$53,7,0),0)</f>
        <v>J♣</v>
      </c>
      <c r="DR12" s="180" t="str">
        <f>IFERROR(VLOOKUP(VLOOKUP($CU$5,'Move History'!$A$2:$NB$516,(10*($DK12-1))+DR$11+196,0),Tables!$AX$2:$BD$53,7,0),0)</f>
        <v>6♥</v>
      </c>
      <c r="DS12" s="180" t="str">
        <f>IFERROR(VLOOKUP(VLOOKUP($CU$5,'Move History'!$A$2:$NB$516,(10*($DK12-1))+DS$11+196,0),Tables!$AX$2:$BD$53,7,0),0)</f>
        <v>4♦</v>
      </c>
      <c r="DT12" s="180" t="str">
        <f>IFERROR(VLOOKUP(VLOOKUP($CU$5,'Move History'!$A$2:$NB$516,(10*($DK12-1))+DT$11+196,0),Tables!$AX$2:$BD$53,7,0),0)</f>
        <v>2♥</v>
      </c>
      <c r="DU12" s="181" t="str">
        <f>IFERROR(VLOOKUP(VLOOKUP($CU$5,'Move History'!$A$2:$NB$516,(10*($DK12-1))+DU$11+196,0),Tables!$AX$2:$BD$53,7,0),0)</f>
        <v>7♣</v>
      </c>
      <c r="DV12" s="18"/>
      <c r="DW12" s="18"/>
      <c r="DX12" s="18"/>
      <c r="DY12" s="18"/>
      <c r="DZ12" s="18"/>
    </row>
    <row r="13" spans="1:130" ht="15" customHeight="1" thickBot="1" x14ac:dyDescent="0.3">
      <c r="A13" s="18"/>
      <c r="B13" s="18"/>
      <c r="C13" s="18"/>
      <c r="D13" s="232"/>
      <c r="E13" s="233"/>
      <c r="F13" s="18"/>
      <c r="G13" s="239"/>
      <c r="H13" s="240"/>
      <c r="I13" s="240"/>
      <c r="J13" s="241"/>
      <c r="K13" s="18"/>
      <c r="L13" s="239"/>
      <c r="M13" s="240"/>
      <c r="N13" s="240"/>
      <c r="O13" s="241"/>
      <c r="P13" s="18"/>
      <c r="Q13" s="18"/>
      <c r="R13" s="18"/>
      <c r="S13" s="18"/>
      <c r="T13" s="18"/>
      <c r="U13" s="18"/>
      <c r="V13" s="220" t="b">
        <f>Selections!U7</f>
        <v>0</v>
      </c>
      <c r="W13" s="221"/>
      <c r="X13" s="224" t="str">
        <f>'Display Map'!G7</f>
        <v/>
      </c>
      <c r="Y13" s="225"/>
      <c r="Z13" s="225"/>
      <c r="AA13" s="226"/>
      <c r="AB13" s="18"/>
      <c r="AC13" s="18"/>
      <c r="AD13" s="224" t="str">
        <f>'Display Map'!K7</f>
        <v>10 - ♥</v>
      </c>
      <c r="AE13" s="225"/>
      <c r="AF13" s="225"/>
      <c r="AG13" s="226"/>
      <c r="AH13" s="18"/>
      <c r="AI13" s="224" t="str">
        <f>'Display Map'!L7</f>
        <v>A - ♦</v>
      </c>
      <c r="AJ13" s="225"/>
      <c r="AK13" s="225"/>
      <c r="AL13" s="226"/>
      <c r="AM13" s="18"/>
      <c r="AN13" s="224" t="str">
        <f>'Display Map'!M7</f>
        <v>K - ♥</v>
      </c>
      <c r="AO13" s="225"/>
      <c r="AP13" s="225"/>
      <c r="AQ13" s="226"/>
      <c r="AR13" s="18"/>
      <c r="AS13" s="224" t="str">
        <f>'Display Map'!N7</f>
        <v>7 - ♦</v>
      </c>
      <c r="AT13" s="225"/>
      <c r="AU13" s="225"/>
      <c r="AV13" s="226"/>
      <c r="AW13" s="18"/>
      <c r="AX13" s="224" t="str">
        <f>'Display Map'!O7</f>
        <v>6 - ♠</v>
      </c>
      <c r="AY13" s="225"/>
      <c r="AZ13" s="225"/>
      <c r="BA13" s="226"/>
      <c r="BB13" s="18"/>
      <c r="BC13" s="224" t="str">
        <f>'Display Map'!P7</f>
        <v>2 - ♠</v>
      </c>
      <c r="BD13" s="225"/>
      <c r="BE13" s="225"/>
      <c r="BF13" s="226"/>
      <c r="BG13" s="18"/>
      <c r="BH13" s="224" t="str">
        <f>'Display Map'!Q7</f>
        <v>10 - ♥</v>
      </c>
      <c r="BI13" s="225"/>
      <c r="BJ13" s="225"/>
      <c r="BK13" s="226"/>
      <c r="BL13" s="18"/>
      <c r="BM13" s="224" t="str">
        <f>'Display Map'!R7</f>
        <v>4 - ♥</v>
      </c>
      <c r="BN13" s="225"/>
      <c r="BO13" s="225"/>
      <c r="BP13" s="226"/>
      <c r="BQ13" s="18"/>
      <c r="BR13" s="224" t="str">
        <f>'Display Map'!S7</f>
        <v>5 - ♥</v>
      </c>
      <c r="BS13" s="225"/>
      <c r="BT13" s="225"/>
      <c r="BU13" s="226"/>
      <c r="BV13" s="18"/>
      <c r="BW13" s="224" t="str">
        <f>'Display Map'!T7</f>
        <v>J - ♠</v>
      </c>
      <c r="BX13" s="225"/>
      <c r="BY13" s="225"/>
      <c r="BZ13" s="226"/>
      <c r="CA13" s="18"/>
      <c r="CB13" s="224" t="str">
        <f>'Display Map'!U7</f>
        <v>K - ♦</v>
      </c>
      <c r="CC13" s="225"/>
      <c r="CD13" s="225"/>
      <c r="CE13" s="226"/>
      <c r="CF13" s="18"/>
      <c r="CG13" s="224" t="str">
        <f>'Display Map'!V7</f>
        <v>8 - ♠</v>
      </c>
      <c r="CH13" s="225"/>
      <c r="CI13" s="225"/>
      <c r="CJ13" s="226"/>
      <c r="CK13" s="18"/>
      <c r="CL13" s="224" t="str">
        <f>'Display Map'!W7</f>
        <v>6 - ♥</v>
      </c>
      <c r="CM13" s="225"/>
      <c r="CN13" s="225"/>
      <c r="CO13" s="226"/>
      <c r="CP13" s="18"/>
      <c r="CQ13" s="190">
        <v>2</v>
      </c>
      <c r="CR13" s="195" t="str">
        <f>IFERROR(VLOOKUP(VLOOKUP($CU$5,'Move History'!$A$2:$NB$516,(15*($CQ13-1))+CR$11+1,0),Tables!$AX$2:$BD$53,7,0),0)</f>
        <v>X♠</v>
      </c>
      <c r="CS13" s="187" t="str">
        <f>IFERROR(VLOOKUP(VLOOKUP($CU$5,'Move History'!$A$2:$NB$516,(15*($CQ13-1))+CS$11+1,0),Tables!$AX$2:$BD$53,7,0),0)</f>
        <v>4♣</v>
      </c>
      <c r="CT13" s="187" t="str">
        <f>IFERROR(VLOOKUP(VLOOKUP($CU$5,'Move History'!$A$2:$NB$516,(15*($CQ13-1))+CT$11+1,0),Tables!$AX$2:$BD$53,7,0),0)</f>
        <v>6♦</v>
      </c>
      <c r="CU13" s="187" t="str">
        <f>IFERROR(VLOOKUP(VLOOKUP($CU$5,'Move History'!$A$2:$NB$516,(15*($CQ13-1))+CU$11+1,0),Tables!$AX$2:$BD$53,7,0),0)</f>
        <v>9♦</v>
      </c>
      <c r="CV13" s="187" t="str">
        <f>IFERROR(VLOOKUP(VLOOKUP($CU$5,'Move History'!$A$2:$NB$516,(15*($CQ13-1))+CV$11+1,0),Tables!$AX$2:$BD$53,7,0),0)</f>
        <v>A♦</v>
      </c>
      <c r="CW13" s="187" t="str">
        <f>IFERROR(VLOOKUP(VLOOKUP($CU$5,'Move History'!$A$2:$NB$516,(15*($CQ13-1))+CW$11+1,0),Tables!$AX$2:$BD$53,7,0),0)</f>
        <v>8♦</v>
      </c>
      <c r="CX13" s="187" t="str">
        <f>IFERROR(VLOOKUP(VLOOKUP($CU$5,'Move History'!$A$2:$NB$516,(15*($CQ13-1))+CX$11+1,0),Tables!$AX$2:$BD$53,7,0),0)</f>
        <v>Q♠</v>
      </c>
      <c r="CY13" s="187">
        <f>IFERROR(VLOOKUP(VLOOKUP($CU$5,'Move History'!$A$2:$NB$516,(15*($CQ13-1))+CY$11+1,0),Tables!$AX$2:$BD$53,7,0),0)</f>
        <v>0</v>
      </c>
      <c r="CZ13" s="187">
        <f>IFERROR(VLOOKUP(VLOOKUP($CU$5,'Move History'!$A$2:$NB$516,(15*($CQ13-1))+CZ$11+1,0),Tables!$AX$2:$BD$53,7,0),0)</f>
        <v>0</v>
      </c>
      <c r="DA13" s="187">
        <f>IFERROR(VLOOKUP(VLOOKUP($CU$5,'Move History'!$A$2:$NB$516,(15*($CQ13-1))+DA$11+1,0),Tables!$AX$2:$BD$53,7,0),0)</f>
        <v>0</v>
      </c>
      <c r="DB13" s="187">
        <f>IFERROR(VLOOKUP(VLOOKUP($CU$5,'Move History'!$A$2:$NB$516,(15*($CQ13-1))+DB$11+1,0),Tables!$AX$2:$BD$53,7,0),0)</f>
        <v>0</v>
      </c>
      <c r="DC13" s="187">
        <f>IFERROR(VLOOKUP(VLOOKUP($CU$5,'Move History'!$A$2:$NB$516,(15*($CQ13-1))+DC$11+1,0),Tables!$AX$2:$BD$53,7,0),0)</f>
        <v>0</v>
      </c>
      <c r="DD13" s="187">
        <f>IFERROR(VLOOKUP(VLOOKUP($CU$5,'Move History'!$A$2:$NB$516,(15*($CQ13-1))+DD$11+1,0),Tables!$AX$2:$BD$53,7,0),0)</f>
        <v>0</v>
      </c>
      <c r="DE13" s="187">
        <f>IFERROR(VLOOKUP(VLOOKUP($CU$5,'Move History'!$A$2:$NB$516,(15*($CQ13-1))+DE$11+1,0),Tables!$AX$2:$BD$53,7,0),0)</f>
        <v>0</v>
      </c>
      <c r="DF13" s="196">
        <f>IFERROR(VLOOKUP(VLOOKUP($CU$5,'Move History'!$A$2:$NB$516,(15*($CQ13-1))+DF$11+1,0),Tables!$AX$2:$BD$53,7,0),0)</f>
        <v>0</v>
      </c>
      <c r="DG13" s="18"/>
      <c r="DH13" s="18"/>
      <c r="DI13" s="18"/>
      <c r="DK13" s="203">
        <v>2</v>
      </c>
      <c r="DL13" s="168" t="str">
        <f>IFERROR(VLOOKUP(VLOOKUP($CU$5,'Move History'!$A$2:$NB$516,(10*($DK13-1))+DL$11+196,0),Tables!$AX$2:$BD$53,7,0),0)</f>
        <v>2♠</v>
      </c>
      <c r="DM13" s="18" t="str">
        <f>IFERROR(VLOOKUP(VLOOKUP($CU$5,'Move History'!$A$2:$NB$516,(10*($DK13-1))+DM$11+196,0),Tables!$AX$2:$BD$53,7,0),0)</f>
        <v>Q♦</v>
      </c>
      <c r="DN13" s="18" t="str">
        <f>IFERROR(VLOOKUP(VLOOKUP($CU$5,'Move History'!$A$2:$NB$516,(10*($DK13-1))+DN$11+196,0),Tables!$AX$2:$BD$53,7,0),0)</f>
        <v>X♣</v>
      </c>
      <c r="DO13" s="18" t="str">
        <f>IFERROR(VLOOKUP(VLOOKUP($CU$5,'Move History'!$A$2:$NB$516,(10*($DK13-1))+DO$11+196,0),Tables!$AX$2:$BD$53,7,0),0)</f>
        <v>A♣</v>
      </c>
      <c r="DP13" s="18" t="str">
        <f>IFERROR(VLOOKUP(VLOOKUP($CU$5,'Move History'!$A$2:$NB$516,(10*($DK13-1))+DP$11+196,0),Tables!$AX$2:$BD$53,7,0),0)</f>
        <v>X♦</v>
      </c>
      <c r="DQ13" s="18" t="str">
        <f>IFERROR(VLOOKUP(VLOOKUP($CU$5,'Move History'!$A$2:$NB$516,(10*($DK13-1))+DQ$11+196,0),Tables!$AX$2:$BD$53,7,0),0)</f>
        <v>K♠</v>
      </c>
      <c r="DR13" s="18" t="str">
        <f>IFERROR(VLOOKUP(VLOOKUP($CU$5,'Move History'!$A$2:$NB$516,(10*($DK13-1))+DR$11+196,0),Tables!$AX$2:$BD$53,7,0),0)</f>
        <v>6♦</v>
      </c>
      <c r="DS13" s="18" t="str">
        <f>IFERROR(VLOOKUP(VLOOKUP($CU$5,'Move History'!$A$2:$NB$516,(10*($DK13-1))+DS$11+196,0),Tables!$AX$2:$BD$53,7,0),0)</f>
        <v>3♦</v>
      </c>
      <c r="DT13" s="18" t="str">
        <f>IFERROR(VLOOKUP(VLOOKUP($CU$5,'Move History'!$A$2:$NB$516,(10*($DK13-1))+DT$11+196,0),Tables!$AX$2:$BD$53,7,0),0)</f>
        <v>4♥</v>
      </c>
      <c r="DU13" s="188" t="str">
        <f>IFERROR(VLOOKUP(VLOOKUP($CU$5,'Move History'!$A$2:$NB$516,(10*($DK13-1))+DU$11+196,0),Tables!$AX$2:$BD$53,7,0),0)</f>
        <v>3♥</v>
      </c>
      <c r="DV13" s="18"/>
      <c r="DW13" s="18"/>
      <c r="DX13" s="18"/>
      <c r="DY13" s="18"/>
      <c r="DZ13" s="18"/>
    </row>
    <row r="14" spans="1:130" ht="15" customHeight="1" thickBot="1" x14ac:dyDescent="0.3">
      <c r="A14" s="18"/>
      <c r="B14" s="18"/>
      <c r="C14" s="18"/>
      <c r="D14" s="232"/>
      <c r="E14" s="233"/>
      <c r="F14" s="18"/>
      <c r="G14" s="18"/>
      <c r="H14" s="18"/>
      <c r="I14" s="220" t="b">
        <f>Selections!I4</f>
        <v>0</v>
      </c>
      <c r="J14" s="221"/>
      <c r="K14" s="18"/>
      <c r="L14" s="18"/>
      <c r="M14" s="18"/>
      <c r="N14" s="220" t="b">
        <f>Selections!I8</f>
        <v>0</v>
      </c>
      <c r="O14" s="221"/>
      <c r="P14" s="18"/>
      <c r="Q14" s="18"/>
      <c r="R14" s="18"/>
      <c r="S14" s="18"/>
      <c r="T14" s="18"/>
      <c r="U14" s="18"/>
      <c r="V14" s="222"/>
      <c r="W14" s="223"/>
      <c r="X14" s="227"/>
      <c r="Y14" s="228"/>
      <c r="Z14" s="228"/>
      <c r="AA14" s="229"/>
      <c r="AB14" s="18"/>
      <c r="AC14" s="18"/>
      <c r="AD14" s="227"/>
      <c r="AE14" s="228"/>
      <c r="AF14" s="228"/>
      <c r="AG14" s="229"/>
      <c r="AH14" s="18"/>
      <c r="AI14" s="227"/>
      <c r="AJ14" s="228"/>
      <c r="AK14" s="228"/>
      <c r="AL14" s="229"/>
      <c r="AM14" s="18"/>
      <c r="AN14" s="227"/>
      <c r="AO14" s="228"/>
      <c r="AP14" s="228"/>
      <c r="AQ14" s="229"/>
      <c r="AR14" s="18"/>
      <c r="AS14" s="227"/>
      <c r="AT14" s="228"/>
      <c r="AU14" s="228"/>
      <c r="AV14" s="229"/>
      <c r="AW14" s="18"/>
      <c r="AX14" s="227"/>
      <c r="AY14" s="228"/>
      <c r="AZ14" s="228"/>
      <c r="BA14" s="229"/>
      <c r="BB14" s="18"/>
      <c r="BC14" s="227"/>
      <c r="BD14" s="228"/>
      <c r="BE14" s="228"/>
      <c r="BF14" s="229"/>
      <c r="BG14" s="18"/>
      <c r="BH14" s="227"/>
      <c r="BI14" s="228"/>
      <c r="BJ14" s="228"/>
      <c r="BK14" s="229"/>
      <c r="BL14" s="18"/>
      <c r="BM14" s="227"/>
      <c r="BN14" s="228"/>
      <c r="BO14" s="228"/>
      <c r="BP14" s="229"/>
      <c r="BQ14" s="18"/>
      <c r="BR14" s="227"/>
      <c r="BS14" s="228"/>
      <c r="BT14" s="228"/>
      <c r="BU14" s="229"/>
      <c r="BV14" s="18"/>
      <c r="BW14" s="227"/>
      <c r="BX14" s="228"/>
      <c r="BY14" s="228"/>
      <c r="BZ14" s="229"/>
      <c r="CA14" s="18"/>
      <c r="CB14" s="227"/>
      <c r="CC14" s="228"/>
      <c r="CD14" s="228"/>
      <c r="CE14" s="229"/>
      <c r="CF14" s="18"/>
      <c r="CG14" s="227"/>
      <c r="CH14" s="228"/>
      <c r="CI14" s="228"/>
      <c r="CJ14" s="229"/>
      <c r="CK14" s="18"/>
      <c r="CL14" s="227"/>
      <c r="CM14" s="228"/>
      <c r="CN14" s="228"/>
      <c r="CO14" s="229"/>
      <c r="CP14" s="18"/>
      <c r="CQ14" s="190">
        <v>3</v>
      </c>
      <c r="CR14" s="195" t="str">
        <f>IFERROR(VLOOKUP(VLOOKUP($CU$5,'Move History'!$A$2:$NB$516,(15*($CQ14-1))+CR$11+1,0),Tables!$AX$2:$BD$53,7,0),0)</f>
        <v>7♣</v>
      </c>
      <c r="CS14" s="187" t="str">
        <f>IFERROR(VLOOKUP(VLOOKUP($CU$5,'Move History'!$A$2:$NB$516,(15*($CQ14-1))+CS$11+1,0),Tables!$AX$2:$BD$53,7,0),0)</f>
        <v>5♠</v>
      </c>
      <c r="CT14" s="187" t="str">
        <f>IFERROR(VLOOKUP(VLOOKUP($CU$5,'Move History'!$A$2:$NB$516,(15*($CQ14-1))+CT$11+1,0),Tables!$AX$2:$BD$53,7,0),0)</f>
        <v>J♥</v>
      </c>
      <c r="CU14" s="187" t="str">
        <f>IFERROR(VLOOKUP(VLOOKUP($CU$5,'Move History'!$A$2:$NB$516,(15*($CQ14-1))+CU$11+1,0),Tables!$AX$2:$BD$53,7,0),0)</f>
        <v>A♦</v>
      </c>
      <c r="CV14" s="187" t="str">
        <f>IFERROR(VLOOKUP(VLOOKUP($CU$5,'Move History'!$A$2:$NB$516,(15*($CQ14-1))+CV$11+1,0),Tables!$AX$2:$BD$53,7,0),0)</f>
        <v>K♥</v>
      </c>
      <c r="CW14" s="187" t="str">
        <f>IFERROR(VLOOKUP(VLOOKUP($CU$5,'Move History'!$A$2:$NB$516,(15*($CQ14-1))+CW$11+1,0),Tables!$AX$2:$BD$53,7,0),0)</f>
        <v>3♠</v>
      </c>
      <c r="CX14" s="187" t="str">
        <f>IFERROR(VLOOKUP(VLOOKUP($CU$5,'Move History'!$A$2:$NB$516,(15*($CQ14-1))+CX$11+1,0),Tables!$AX$2:$BD$53,7,0),0)</f>
        <v>4♠</v>
      </c>
      <c r="CY14" s="187">
        <f>IFERROR(VLOOKUP(VLOOKUP($CU$5,'Move History'!$A$2:$NB$516,(15*($CQ14-1))+CY$11+1,0),Tables!$AX$2:$BD$53,7,0),0)</f>
        <v>0</v>
      </c>
      <c r="CZ14" s="187">
        <f>IFERROR(VLOOKUP(VLOOKUP($CU$5,'Move History'!$A$2:$NB$516,(15*($CQ14-1))+CZ$11+1,0),Tables!$AX$2:$BD$53,7,0),0)</f>
        <v>0</v>
      </c>
      <c r="DA14" s="187">
        <f>IFERROR(VLOOKUP(VLOOKUP($CU$5,'Move History'!$A$2:$NB$516,(15*($CQ14-1))+DA$11+1,0),Tables!$AX$2:$BD$53,7,0),0)</f>
        <v>0</v>
      </c>
      <c r="DB14" s="187">
        <f>IFERROR(VLOOKUP(VLOOKUP($CU$5,'Move History'!$A$2:$NB$516,(15*($CQ14-1))+DB$11+1,0),Tables!$AX$2:$BD$53,7,0),0)</f>
        <v>0</v>
      </c>
      <c r="DC14" s="187">
        <f>IFERROR(VLOOKUP(VLOOKUP($CU$5,'Move History'!$A$2:$NB$516,(15*($CQ14-1))+DC$11+1,0),Tables!$AX$2:$BD$53,7,0),0)</f>
        <v>0</v>
      </c>
      <c r="DD14" s="187">
        <f>IFERROR(VLOOKUP(VLOOKUP($CU$5,'Move History'!$A$2:$NB$516,(15*($CQ14-1))+DD$11+1,0),Tables!$AX$2:$BD$53,7,0),0)</f>
        <v>0</v>
      </c>
      <c r="DE14" s="187">
        <f>IFERROR(VLOOKUP(VLOOKUP($CU$5,'Move History'!$A$2:$NB$516,(15*($CQ14-1))+DE$11+1,0),Tables!$AX$2:$BD$53,7,0),0)</f>
        <v>0</v>
      </c>
      <c r="DF14" s="196">
        <f>IFERROR(VLOOKUP(VLOOKUP($CU$5,'Move History'!$A$2:$NB$516,(15*($CQ14-1))+DF$11+1,0),Tables!$AX$2:$BD$53,7,0),0)</f>
        <v>0</v>
      </c>
      <c r="DG14" s="18"/>
      <c r="DH14" s="18"/>
      <c r="DI14" s="18"/>
      <c r="DK14" s="203">
        <v>3</v>
      </c>
      <c r="DL14" s="168" t="str">
        <f>IFERROR(VLOOKUP(VLOOKUP($CU$5,'Move History'!$A$2:$NB$516,(10*($DK14-1))+DL$11+196,0),Tables!$AX$2:$BD$53,7,0),0)</f>
        <v>5♣</v>
      </c>
      <c r="DM14" s="18" t="str">
        <f>IFERROR(VLOOKUP(VLOOKUP($CU$5,'Move History'!$A$2:$NB$516,(10*($DK14-1))+DM$11+196,0),Tables!$AX$2:$BD$53,7,0),0)</f>
        <v>7♥</v>
      </c>
      <c r="DN14" s="18" t="str">
        <f>IFERROR(VLOOKUP(VLOOKUP($CU$5,'Move History'!$A$2:$NB$516,(10*($DK14-1))+DN$11+196,0),Tables!$AX$2:$BD$53,7,0),0)</f>
        <v>J♦</v>
      </c>
      <c r="DO14" s="18">
        <f>IFERROR(VLOOKUP(VLOOKUP($CU$5,'Move History'!$A$2:$NB$516,(10*($DK14-1))+DO$11+196,0),Tables!$AX$2:$BD$53,7,0),0)</f>
        <v>0</v>
      </c>
      <c r="DP14" s="18">
        <f>IFERROR(VLOOKUP(VLOOKUP($CU$5,'Move History'!$A$2:$NB$516,(10*($DK14-1))+DP$11+196,0),Tables!$AX$2:$BD$53,7,0),0)</f>
        <v>0</v>
      </c>
      <c r="DQ14" s="18">
        <f>IFERROR(VLOOKUP(VLOOKUP($CU$5,'Move History'!$A$2:$NB$516,(10*($DK14-1))+DQ$11+196,0),Tables!$AX$2:$BD$53,7,0),0)</f>
        <v>0</v>
      </c>
      <c r="DR14" s="18">
        <f>IFERROR(VLOOKUP(VLOOKUP($CU$5,'Move History'!$A$2:$NB$516,(10*($DK14-1))+DR$11+196,0),Tables!$AX$2:$BD$53,7,0),0)</f>
        <v>0</v>
      </c>
      <c r="DS14" s="18">
        <f>IFERROR(VLOOKUP(VLOOKUP($CU$5,'Move History'!$A$2:$NB$516,(10*($DK14-1))+DS$11+196,0),Tables!$AX$2:$BD$53,7,0),0)</f>
        <v>0</v>
      </c>
      <c r="DT14" s="18">
        <f>IFERROR(VLOOKUP(VLOOKUP($CU$5,'Move History'!$A$2:$NB$516,(10*($DK14-1))+DT$11+196,0),Tables!$AX$2:$BD$53,7,0),0)</f>
        <v>0</v>
      </c>
      <c r="DU14" s="188">
        <f>IFERROR(VLOOKUP(VLOOKUP($CU$5,'Move History'!$A$2:$NB$516,(10*($DK14-1))+DU$11+196,0),Tables!$AX$2:$BD$53,7,0),0)</f>
        <v>0</v>
      </c>
      <c r="DV14" s="18"/>
      <c r="DW14" s="18"/>
      <c r="DX14" s="18"/>
      <c r="DY14" s="18"/>
      <c r="DZ14" s="18"/>
    </row>
    <row r="15" spans="1:130" ht="15" customHeight="1" thickBot="1" x14ac:dyDescent="0.3">
      <c r="A15" s="18"/>
      <c r="B15" s="18"/>
      <c r="C15" s="18"/>
      <c r="D15" s="232"/>
      <c r="E15" s="233"/>
      <c r="F15" s="18"/>
      <c r="G15" s="18"/>
      <c r="H15" s="18"/>
      <c r="I15" s="222"/>
      <c r="J15" s="223"/>
      <c r="K15" s="18"/>
      <c r="L15" s="18"/>
      <c r="M15" s="18"/>
      <c r="N15" s="222"/>
      <c r="O15" s="223"/>
      <c r="P15" s="18"/>
      <c r="Q15" s="18"/>
      <c r="R15" s="18"/>
      <c r="S15" s="18"/>
      <c r="T15" s="18"/>
      <c r="U15" s="18"/>
      <c r="V15" s="220" t="b">
        <f>Selections!U8</f>
        <v>0</v>
      </c>
      <c r="W15" s="221"/>
      <c r="X15" s="224" t="str">
        <f>'Display Map'!G8</f>
        <v/>
      </c>
      <c r="Y15" s="225"/>
      <c r="Z15" s="225"/>
      <c r="AA15" s="226"/>
      <c r="AB15" s="18"/>
      <c r="AC15" s="18"/>
      <c r="AD15" s="224" t="str">
        <f>'Display Map'!K8</f>
        <v>8 - ♣</v>
      </c>
      <c r="AE15" s="225"/>
      <c r="AF15" s="225"/>
      <c r="AG15" s="226"/>
      <c r="AH15" s="18"/>
      <c r="AI15" s="224" t="str">
        <f>'Display Map'!L8</f>
        <v>8 - ♦</v>
      </c>
      <c r="AJ15" s="225"/>
      <c r="AK15" s="225"/>
      <c r="AL15" s="226"/>
      <c r="AM15" s="18"/>
      <c r="AN15" s="224" t="str">
        <f>'Display Map'!M8</f>
        <v>3 - ♠</v>
      </c>
      <c r="AO15" s="225"/>
      <c r="AP15" s="225"/>
      <c r="AQ15" s="226"/>
      <c r="AR15" s="18"/>
      <c r="AS15" s="224" t="str">
        <f>'Display Map'!N8</f>
        <v>9 - ♠</v>
      </c>
      <c r="AT15" s="225"/>
      <c r="AU15" s="225"/>
      <c r="AV15" s="226"/>
      <c r="AW15" s="18"/>
      <c r="AX15" s="224" t="str">
        <f>'Display Map'!O8</f>
        <v>A - ♥</v>
      </c>
      <c r="AY15" s="225"/>
      <c r="AZ15" s="225"/>
      <c r="BA15" s="226"/>
      <c r="BB15" s="18"/>
      <c r="BC15" s="224" t="str">
        <f>'Display Map'!P8</f>
        <v>K - ♣</v>
      </c>
      <c r="BD15" s="225"/>
      <c r="BE15" s="225"/>
      <c r="BF15" s="226"/>
      <c r="BG15" s="18"/>
      <c r="BH15" s="224" t="str">
        <f>'Display Map'!Q8</f>
        <v>2 - ♦</v>
      </c>
      <c r="BI15" s="225"/>
      <c r="BJ15" s="225"/>
      <c r="BK15" s="226"/>
      <c r="BL15" s="18"/>
      <c r="BM15" s="224" t="str">
        <f>'Display Map'!R8</f>
        <v>6 - ♠</v>
      </c>
      <c r="BN15" s="225"/>
      <c r="BO15" s="225"/>
      <c r="BP15" s="226"/>
      <c r="BQ15" s="18"/>
      <c r="BR15" s="224" t="str">
        <f>'Display Map'!S8</f>
        <v>4 - ♦</v>
      </c>
      <c r="BS15" s="225"/>
      <c r="BT15" s="225"/>
      <c r="BU15" s="226"/>
      <c r="BV15" s="18"/>
      <c r="BW15" s="224" t="str">
        <f>'Display Map'!T8</f>
        <v>8 - ♣</v>
      </c>
      <c r="BX15" s="225"/>
      <c r="BY15" s="225"/>
      <c r="BZ15" s="226"/>
      <c r="CA15" s="18"/>
      <c r="CB15" s="224" t="str">
        <f>'Display Map'!U8</f>
        <v>Q - ♣</v>
      </c>
      <c r="CC15" s="225"/>
      <c r="CD15" s="225"/>
      <c r="CE15" s="226"/>
      <c r="CF15" s="18"/>
      <c r="CG15" s="224" t="str">
        <f>'Display Map'!V8</f>
        <v>4 - ♠</v>
      </c>
      <c r="CH15" s="225"/>
      <c r="CI15" s="225"/>
      <c r="CJ15" s="226"/>
      <c r="CK15" s="18"/>
      <c r="CL15" s="224" t="str">
        <f>'Display Map'!W8</f>
        <v>5 - ♦</v>
      </c>
      <c r="CM15" s="225"/>
      <c r="CN15" s="225"/>
      <c r="CO15" s="226"/>
      <c r="CP15" s="18"/>
      <c r="CQ15" s="190">
        <v>4</v>
      </c>
      <c r="CR15" s="195" t="str">
        <f>IFERROR(VLOOKUP(VLOOKUP($CU$5,'Move History'!$A$2:$NB$516,(15*($CQ15-1))+CR$11+1,0),Tables!$AX$2:$BD$53,7,0),0)</f>
        <v>A♣</v>
      </c>
      <c r="CS15" s="187" t="str">
        <f>IFERROR(VLOOKUP(VLOOKUP($CU$5,'Move History'!$A$2:$NB$516,(15*($CQ15-1))+CS$11+1,0),Tables!$AX$2:$BD$53,7,0),0)</f>
        <v>8♦</v>
      </c>
      <c r="CT15" s="187" t="str">
        <f>IFERROR(VLOOKUP(VLOOKUP($CU$5,'Move History'!$A$2:$NB$516,(15*($CQ15-1))+CT$11+1,0),Tables!$AX$2:$BD$53,7,0),0)</f>
        <v>7♠</v>
      </c>
      <c r="CU15" s="187" t="str">
        <f>IFERROR(VLOOKUP(VLOOKUP($CU$5,'Move History'!$A$2:$NB$516,(15*($CQ15-1))+CU$11+1,0),Tables!$AX$2:$BD$53,7,0),0)</f>
        <v>3♣</v>
      </c>
      <c r="CV15" s="187" t="str">
        <f>IFERROR(VLOOKUP(VLOOKUP($CU$5,'Move History'!$A$2:$NB$516,(15*($CQ15-1))+CV$11+1,0),Tables!$AX$2:$BD$53,7,0),0)</f>
        <v>7♦</v>
      </c>
      <c r="CW15" s="187" t="str">
        <f>IFERROR(VLOOKUP(VLOOKUP($CU$5,'Move History'!$A$2:$NB$516,(15*($CQ15-1))+CW$11+1,0),Tables!$AX$2:$BD$53,7,0),0)</f>
        <v>9♠</v>
      </c>
      <c r="CX15" s="187">
        <f>IFERROR(VLOOKUP(VLOOKUP($CU$5,'Move History'!$A$2:$NB$516,(15*($CQ15-1))+CX$11+1,0),Tables!$AX$2:$BD$53,7,0),0)</f>
        <v>0</v>
      </c>
      <c r="CY15" s="187">
        <f>IFERROR(VLOOKUP(VLOOKUP($CU$5,'Move History'!$A$2:$NB$516,(15*($CQ15-1))+CY$11+1,0),Tables!$AX$2:$BD$53,7,0),0)</f>
        <v>0</v>
      </c>
      <c r="CZ15" s="187">
        <f>IFERROR(VLOOKUP(VLOOKUP($CU$5,'Move History'!$A$2:$NB$516,(15*($CQ15-1))+CZ$11+1,0),Tables!$AX$2:$BD$53,7,0),0)</f>
        <v>0</v>
      </c>
      <c r="DA15" s="187">
        <f>IFERROR(VLOOKUP(VLOOKUP($CU$5,'Move History'!$A$2:$NB$516,(15*($CQ15-1))+DA$11+1,0),Tables!$AX$2:$BD$53,7,0),0)</f>
        <v>0</v>
      </c>
      <c r="DB15" s="187">
        <f>IFERROR(VLOOKUP(VLOOKUP($CU$5,'Move History'!$A$2:$NB$516,(15*($CQ15-1))+DB$11+1,0),Tables!$AX$2:$BD$53,7,0),0)</f>
        <v>0</v>
      </c>
      <c r="DC15" s="187">
        <f>IFERROR(VLOOKUP(VLOOKUP($CU$5,'Move History'!$A$2:$NB$516,(15*($CQ15-1))+DC$11+1,0),Tables!$AX$2:$BD$53,7,0),0)</f>
        <v>0</v>
      </c>
      <c r="DD15" s="187">
        <f>IFERROR(VLOOKUP(VLOOKUP($CU$5,'Move History'!$A$2:$NB$516,(15*($CQ15-1))+DD$11+1,0),Tables!$AX$2:$BD$53,7,0),0)</f>
        <v>0</v>
      </c>
      <c r="DE15" s="187">
        <f>IFERROR(VLOOKUP(VLOOKUP($CU$5,'Move History'!$A$2:$NB$516,(15*($CQ15-1))+DE$11+1,0),Tables!$AX$2:$BD$53,7,0),0)</f>
        <v>0</v>
      </c>
      <c r="DF15" s="196">
        <f>IFERROR(VLOOKUP(VLOOKUP($CU$5,'Move History'!$A$2:$NB$516,(15*($CQ15-1))+DF$11+1,0),Tables!$AX$2:$BD$53,7,0),0)</f>
        <v>0</v>
      </c>
      <c r="DG15" s="18"/>
      <c r="DH15" s="18"/>
      <c r="DI15" s="18"/>
      <c r="DK15" s="203">
        <v>4</v>
      </c>
      <c r="DL15" s="168">
        <f>IFERROR(VLOOKUP(VLOOKUP($CU$5,'Move History'!$A$2:$NB$516,(10*($DK15-1))+DL$11+196,0),Tables!$AX$2:$BD$53,7,0),0)</f>
        <v>0</v>
      </c>
      <c r="DM15" s="18">
        <f>IFERROR(VLOOKUP(VLOOKUP($CU$5,'Move History'!$A$2:$NB$516,(10*($DK15-1))+DM$11+196,0),Tables!$AX$2:$BD$53,7,0),0)</f>
        <v>0</v>
      </c>
      <c r="DN15" s="18">
        <f>IFERROR(VLOOKUP(VLOOKUP($CU$5,'Move History'!$A$2:$NB$516,(10*($DK15-1))+DN$11+196,0),Tables!$AX$2:$BD$53,7,0),0)</f>
        <v>0</v>
      </c>
      <c r="DO15" s="18">
        <f>IFERROR(VLOOKUP(VLOOKUP($CU$5,'Move History'!$A$2:$NB$516,(10*($DK15-1))+DO$11+196,0),Tables!$AX$2:$BD$53,7,0),0)</f>
        <v>0</v>
      </c>
      <c r="DP15" s="18">
        <f>IFERROR(VLOOKUP(VLOOKUP($CU$5,'Move History'!$A$2:$NB$516,(10*($DK15-1))+DP$11+196,0),Tables!$AX$2:$BD$53,7,0),0)</f>
        <v>0</v>
      </c>
      <c r="DQ15" s="18">
        <f>IFERROR(VLOOKUP(VLOOKUP($CU$5,'Move History'!$A$2:$NB$516,(10*($DK15-1))+DQ$11+196,0),Tables!$AX$2:$BD$53,7,0),0)</f>
        <v>0</v>
      </c>
      <c r="DR15" s="18">
        <f>IFERROR(VLOOKUP(VLOOKUP($CU$5,'Move History'!$A$2:$NB$516,(10*($DK15-1))+DR$11+196,0),Tables!$AX$2:$BD$53,7,0),0)</f>
        <v>0</v>
      </c>
      <c r="DS15" s="18">
        <f>IFERROR(VLOOKUP(VLOOKUP($CU$5,'Move History'!$A$2:$NB$516,(10*($DK15-1))+DS$11+196,0),Tables!$AX$2:$BD$53,7,0),0)</f>
        <v>0</v>
      </c>
      <c r="DT15" s="18">
        <f>IFERROR(VLOOKUP(VLOOKUP($CU$5,'Move History'!$A$2:$NB$516,(10*($DK15-1))+DT$11+196,0),Tables!$AX$2:$BD$53,7,0),0)</f>
        <v>0</v>
      </c>
      <c r="DU15" s="188">
        <f>IFERROR(VLOOKUP(VLOOKUP($CU$5,'Move History'!$A$2:$NB$516,(10*($DK15-1))+DU$11+196,0),Tables!$AX$2:$BD$53,7,0),0)</f>
        <v>0</v>
      </c>
      <c r="DV15" s="18"/>
      <c r="DW15" s="18"/>
      <c r="DX15" s="18"/>
      <c r="DY15" s="18"/>
      <c r="DZ15" s="18"/>
    </row>
    <row r="16" spans="1:130" ht="15" customHeight="1" thickBot="1" x14ac:dyDescent="0.3">
      <c r="A16" s="18"/>
      <c r="B16" s="18"/>
      <c r="C16" s="18"/>
      <c r="D16" s="232"/>
      <c r="E16" s="233"/>
      <c r="F16" s="18"/>
      <c r="G16" s="18"/>
      <c r="H16" s="18"/>
      <c r="I16" s="220"/>
      <c r="J16" s="221"/>
      <c r="K16" s="18"/>
      <c r="L16" s="124"/>
      <c r="M16" s="124"/>
      <c r="N16" s="220"/>
      <c r="O16" s="221"/>
      <c r="P16" s="18"/>
      <c r="Q16" s="18"/>
      <c r="R16" s="18"/>
      <c r="S16" s="18"/>
      <c r="T16" s="18"/>
      <c r="U16" s="18"/>
      <c r="V16" s="222"/>
      <c r="W16" s="223"/>
      <c r="X16" s="227"/>
      <c r="Y16" s="228"/>
      <c r="Z16" s="228"/>
      <c r="AA16" s="229"/>
      <c r="AB16" s="18"/>
      <c r="AC16" s="18"/>
      <c r="AD16" s="227"/>
      <c r="AE16" s="228"/>
      <c r="AF16" s="228"/>
      <c r="AG16" s="229"/>
      <c r="AH16" s="18"/>
      <c r="AI16" s="227"/>
      <c r="AJ16" s="228"/>
      <c r="AK16" s="228"/>
      <c r="AL16" s="229"/>
      <c r="AM16" s="18"/>
      <c r="AN16" s="227"/>
      <c r="AO16" s="228"/>
      <c r="AP16" s="228"/>
      <c r="AQ16" s="229"/>
      <c r="AR16" s="18"/>
      <c r="AS16" s="227"/>
      <c r="AT16" s="228"/>
      <c r="AU16" s="228"/>
      <c r="AV16" s="229"/>
      <c r="AW16" s="18"/>
      <c r="AX16" s="227"/>
      <c r="AY16" s="228"/>
      <c r="AZ16" s="228"/>
      <c r="BA16" s="229"/>
      <c r="BB16" s="18"/>
      <c r="BC16" s="227"/>
      <c r="BD16" s="228"/>
      <c r="BE16" s="228"/>
      <c r="BF16" s="229"/>
      <c r="BG16" s="18"/>
      <c r="BH16" s="227"/>
      <c r="BI16" s="228"/>
      <c r="BJ16" s="228"/>
      <c r="BK16" s="229"/>
      <c r="BL16" s="18"/>
      <c r="BM16" s="227"/>
      <c r="BN16" s="228"/>
      <c r="BO16" s="228"/>
      <c r="BP16" s="229"/>
      <c r="BQ16" s="18"/>
      <c r="BR16" s="227"/>
      <c r="BS16" s="228"/>
      <c r="BT16" s="228"/>
      <c r="BU16" s="229"/>
      <c r="BV16" s="18"/>
      <c r="BW16" s="227"/>
      <c r="BX16" s="228"/>
      <c r="BY16" s="228"/>
      <c r="BZ16" s="229"/>
      <c r="CA16" s="18"/>
      <c r="CB16" s="227"/>
      <c r="CC16" s="228"/>
      <c r="CD16" s="228"/>
      <c r="CE16" s="229"/>
      <c r="CF16" s="18"/>
      <c r="CG16" s="227"/>
      <c r="CH16" s="228"/>
      <c r="CI16" s="228"/>
      <c r="CJ16" s="229"/>
      <c r="CK16" s="18"/>
      <c r="CL16" s="227"/>
      <c r="CM16" s="228"/>
      <c r="CN16" s="228"/>
      <c r="CO16" s="229"/>
      <c r="CP16" s="18"/>
      <c r="CQ16" s="190">
        <v>5</v>
      </c>
      <c r="CR16" s="195" t="str">
        <f>IFERROR(VLOOKUP(VLOOKUP($CU$5,'Move History'!$A$2:$NB$516,(15*($CQ16-1))+CR$11+1,0),Tables!$AX$2:$BD$53,7,0),0)</f>
        <v>K♣</v>
      </c>
      <c r="CS16" s="187" t="str">
        <f>IFERROR(VLOOKUP(VLOOKUP($CU$5,'Move History'!$A$2:$NB$516,(15*($CQ16-1))+CS$11+1,0),Tables!$AX$2:$BD$53,7,0),0)</f>
        <v>J♣</v>
      </c>
      <c r="CT16" s="187" t="str">
        <f>IFERROR(VLOOKUP(VLOOKUP($CU$5,'Move History'!$A$2:$NB$516,(15*($CQ16-1))+CT$11+1,0),Tables!$AX$2:$BD$53,7,0),0)</f>
        <v>Q♣</v>
      </c>
      <c r="CU16" s="187" t="str">
        <f>IFERROR(VLOOKUP(VLOOKUP($CU$5,'Move History'!$A$2:$NB$516,(15*($CQ16-1))+CU$11+1,0),Tables!$AX$2:$BD$53,7,0),0)</f>
        <v>Q♥</v>
      </c>
      <c r="CV16" s="187" t="str">
        <f>IFERROR(VLOOKUP(VLOOKUP($CU$5,'Move History'!$A$2:$NB$516,(15*($CQ16-1))+CV$11+1,0),Tables!$AX$2:$BD$53,7,0),0)</f>
        <v>6♠</v>
      </c>
      <c r="CW16" s="187" t="str">
        <f>IFERROR(VLOOKUP(VLOOKUP($CU$5,'Move History'!$A$2:$NB$516,(15*($CQ16-1))+CW$11+1,0),Tables!$AX$2:$BD$53,7,0),0)</f>
        <v>A♥</v>
      </c>
      <c r="CX16" s="187">
        <f>IFERROR(VLOOKUP(VLOOKUP($CU$5,'Move History'!$A$2:$NB$516,(15*($CQ16-1))+CX$11+1,0),Tables!$AX$2:$BD$53,7,0),0)</f>
        <v>0</v>
      </c>
      <c r="CY16" s="187">
        <f>IFERROR(VLOOKUP(VLOOKUP($CU$5,'Move History'!$A$2:$NB$516,(15*($CQ16-1))+CY$11+1,0),Tables!$AX$2:$BD$53,7,0),0)</f>
        <v>0</v>
      </c>
      <c r="CZ16" s="187">
        <f>IFERROR(VLOOKUP(VLOOKUP($CU$5,'Move History'!$A$2:$NB$516,(15*($CQ16-1))+CZ$11+1,0),Tables!$AX$2:$BD$53,7,0),0)</f>
        <v>0</v>
      </c>
      <c r="DA16" s="187">
        <f>IFERROR(VLOOKUP(VLOOKUP($CU$5,'Move History'!$A$2:$NB$516,(15*($CQ16-1))+DA$11+1,0),Tables!$AX$2:$BD$53,7,0),0)</f>
        <v>0</v>
      </c>
      <c r="DB16" s="187">
        <f>IFERROR(VLOOKUP(VLOOKUP($CU$5,'Move History'!$A$2:$NB$516,(15*($CQ16-1))+DB$11+1,0),Tables!$AX$2:$BD$53,7,0),0)</f>
        <v>0</v>
      </c>
      <c r="DC16" s="187">
        <f>IFERROR(VLOOKUP(VLOOKUP($CU$5,'Move History'!$A$2:$NB$516,(15*($CQ16-1))+DC$11+1,0),Tables!$AX$2:$BD$53,7,0),0)</f>
        <v>0</v>
      </c>
      <c r="DD16" s="187">
        <f>IFERROR(VLOOKUP(VLOOKUP($CU$5,'Move History'!$A$2:$NB$516,(15*($CQ16-1))+DD$11+1,0),Tables!$AX$2:$BD$53,7,0),0)</f>
        <v>0</v>
      </c>
      <c r="DE16" s="187">
        <f>IFERROR(VLOOKUP(VLOOKUP($CU$5,'Move History'!$A$2:$NB$516,(15*($CQ16-1))+DE$11+1,0),Tables!$AX$2:$BD$53,7,0),0)</f>
        <v>0</v>
      </c>
      <c r="DF16" s="196">
        <f>IFERROR(VLOOKUP(VLOOKUP($CU$5,'Move History'!$A$2:$NB$516,(15*($CQ16-1))+DF$11+1,0),Tables!$AX$2:$BD$53,7,0),0)</f>
        <v>0</v>
      </c>
      <c r="DG16" s="18"/>
      <c r="DH16" s="18"/>
      <c r="DI16" s="18"/>
      <c r="DK16" s="204">
        <v>5</v>
      </c>
      <c r="DL16" s="169">
        <f>IFERROR(VLOOKUP(VLOOKUP($CU$5,'Move History'!$A$2:$NB$516,(10*($DK16-1))+DL$11+196,0),Tables!$AX$2:$BD$53,7,0),0)</f>
        <v>0</v>
      </c>
      <c r="DM16" s="170">
        <f>IFERROR(VLOOKUP(VLOOKUP($CU$5,'Move History'!$A$2:$NB$516,(10*($DK16-1))+DM$11+196,0),Tables!$AX$2:$BD$53,7,0),0)</f>
        <v>0</v>
      </c>
      <c r="DN16" s="170">
        <f>IFERROR(VLOOKUP(VLOOKUP($CU$5,'Move History'!$A$2:$NB$516,(10*($DK16-1))+DN$11+196,0),Tables!$AX$2:$BD$53,7,0),0)</f>
        <v>0</v>
      </c>
      <c r="DO16" s="170">
        <f>IFERROR(VLOOKUP(VLOOKUP($CU$5,'Move History'!$A$2:$NB$516,(10*($DK16-1))+DO$11+196,0),Tables!$AX$2:$BD$53,7,0),0)</f>
        <v>0</v>
      </c>
      <c r="DP16" s="170">
        <f>IFERROR(VLOOKUP(VLOOKUP($CU$5,'Move History'!$A$2:$NB$516,(10*($DK16-1))+DP$11+196,0),Tables!$AX$2:$BD$53,7,0),0)</f>
        <v>0</v>
      </c>
      <c r="DQ16" s="170">
        <f>IFERROR(VLOOKUP(VLOOKUP($CU$5,'Move History'!$A$2:$NB$516,(10*($DK16-1))+DQ$11+196,0),Tables!$AX$2:$BD$53,7,0),0)</f>
        <v>0</v>
      </c>
      <c r="DR16" s="170">
        <f>IFERROR(VLOOKUP(VLOOKUP($CU$5,'Move History'!$A$2:$NB$516,(10*($DK16-1))+DR$11+196,0),Tables!$AX$2:$BD$53,7,0),0)</f>
        <v>0</v>
      </c>
      <c r="DS16" s="170">
        <f>IFERROR(VLOOKUP(VLOOKUP($CU$5,'Move History'!$A$2:$NB$516,(10*($DK16-1))+DS$11+196,0),Tables!$AX$2:$BD$53,7,0),0)</f>
        <v>0</v>
      </c>
      <c r="DT16" s="170">
        <f>IFERROR(VLOOKUP(VLOOKUP($CU$5,'Move History'!$A$2:$NB$516,(10*($DK16-1))+DT$11+196,0),Tables!$AX$2:$BD$53,7,0),0)</f>
        <v>0</v>
      </c>
      <c r="DU16" s="189">
        <f>IFERROR(VLOOKUP(VLOOKUP($CU$5,'Move History'!$A$2:$NB$516,(10*($DK16-1))+DU$11+196,0),Tables!$AX$2:$BD$53,7,0),0)</f>
        <v>0</v>
      </c>
      <c r="DV16" s="18"/>
      <c r="DW16" s="18"/>
      <c r="DX16" s="18"/>
      <c r="DY16" s="18"/>
      <c r="DZ16" s="18"/>
    </row>
    <row r="17" spans="1:130" ht="15" customHeight="1" thickBot="1" x14ac:dyDescent="0.3">
      <c r="A17" s="18"/>
      <c r="B17" s="18"/>
      <c r="C17" s="18"/>
      <c r="D17" s="234"/>
      <c r="E17" s="235"/>
      <c r="F17" s="18"/>
      <c r="G17" s="18"/>
      <c r="H17" s="18"/>
      <c r="I17" s="222"/>
      <c r="J17" s="223"/>
      <c r="K17" s="18"/>
      <c r="L17" s="124"/>
      <c r="M17" s="124"/>
      <c r="N17" s="222"/>
      <c r="O17" s="223"/>
      <c r="P17" s="18"/>
      <c r="Q17" s="18"/>
      <c r="R17" s="18"/>
      <c r="S17" s="18"/>
      <c r="T17" s="18"/>
      <c r="U17" s="18"/>
      <c r="V17" s="220" t="b">
        <f>Selections!U9</f>
        <v>0</v>
      </c>
      <c r="W17" s="221"/>
      <c r="X17" s="224" t="str">
        <f>'Display Map'!G9</f>
        <v/>
      </c>
      <c r="Y17" s="225"/>
      <c r="Z17" s="225"/>
      <c r="AA17" s="226"/>
      <c r="AB17" s="18"/>
      <c r="AC17" s="18"/>
      <c r="AD17" s="224" t="str">
        <f>'Display Map'!K9</f>
        <v>9 - ♣</v>
      </c>
      <c r="AE17" s="225"/>
      <c r="AF17" s="225"/>
      <c r="AG17" s="226"/>
      <c r="AH17" s="18"/>
      <c r="AI17" s="224" t="str">
        <f>'Display Map'!L9</f>
        <v>Q - ♠</v>
      </c>
      <c r="AJ17" s="225"/>
      <c r="AK17" s="225"/>
      <c r="AL17" s="226"/>
      <c r="AM17" s="18"/>
      <c r="AN17" s="224" t="str">
        <f>'Display Map'!M9</f>
        <v>4 - ♠</v>
      </c>
      <c r="AO17" s="225"/>
      <c r="AP17" s="225"/>
      <c r="AQ17" s="226"/>
      <c r="AR17" s="18"/>
      <c r="AS17" s="224" t="str">
        <f>'Display Map'!N9</f>
        <v/>
      </c>
      <c r="AT17" s="225"/>
      <c r="AU17" s="225"/>
      <c r="AV17" s="226"/>
      <c r="AW17" s="18"/>
      <c r="AX17" s="224" t="str">
        <f>'Display Map'!O9</f>
        <v/>
      </c>
      <c r="AY17" s="225"/>
      <c r="AZ17" s="225"/>
      <c r="BA17" s="226"/>
      <c r="BB17" s="18"/>
      <c r="BC17" s="224" t="str">
        <f>'Display Map'!P9</f>
        <v/>
      </c>
      <c r="BD17" s="225"/>
      <c r="BE17" s="225"/>
      <c r="BF17" s="226"/>
      <c r="BG17" s="18"/>
      <c r="BH17" s="224" t="str">
        <f>'Display Map'!Q9</f>
        <v/>
      </c>
      <c r="BI17" s="225"/>
      <c r="BJ17" s="225"/>
      <c r="BK17" s="226"/>
      <c r="BL17" s="18"/>
      <c r="BM17" s="224" t="str">
        <f>'Display Map'!R9</f>
        <v/>
      </c>
      <c r="BN17" s="225"/>
      <c r="BO17" s="225"/>
      <c r="BP17" s="226"/>
      <c r="BQ17" s="18"/>
      <c r="BR17" s="224" t="str">
        <f>'Display Map'!S9</f>
        <v/>
      </c>
      <c r="BS17" s="225"/>
      <c r="BT17" s="225"/>
      <c r="BU17" s="226"/>
      <c r="BV17" s="18"/>
      <c r="BW17" s="224" t="str">
        <f>'Display Map'!T9</f>
        <v/>
      </c>
      <c r="BX17" s="225"/>
      <c r="BY17" s="225"/>
      <c r="BZ17" s="226"/>
      <c r="CA17" s="18"/>
      <c r="CB17" s="224" t="str">
        <f>'Display Map'!U9</f>
        <v/>
      </c>
      <c r="CC17" s="225"/>
      <c r="CD17" s="225"/>
      <c r="CE17" s="226"/>
      <c r="CF17" s="18"/>
      <c r="CG17" s="224" t="str">
        <f>'Display Map'!V9</f>
        <v/>
      </c>
      <c r="CH17" s="225"/>
      <c r="CI17" s="225"/>
      <c r="CJ17" s="226"/>
      <c r="CK17" s="18"/>
      <c r="CL17" s="224" t="str">
        <f>'Display Map'!W9</f>
        <v/>
      </c>
      <c r="CM17" s="225"/>
      <c r="CN17" s="225"/>
      <c r="CO17" s="226"/>
      <c r="CP17" s="18"/>
      <c r="CQ17" s="190">
        <v>6</v>
      </c>
      <c r="CR17" s="195" t="str">
        <f>IFERROR(VLOOKUP(VLOOKUP($CU$5,'Move History'!$A$2:$NB$516,(15*($CQ17-1))+CR$11+1,0),Tables!$AX$2:$BD$53,7,0),0)</f>
        <v>K♦</v>
      </c>
      <c r="CS17" s="187" t="str">
        <f>IFERROR(VLOOKUP(VLOOKUP($CU$5,'Move History'!$A$2:$NB$516,(15*($CQ17-1))+CS$11+1,0),Tables!$AX$2:$BD$53,7,0),0)</f>
        <v>7♦</v>
      </c>
      <c r="CT17" s="187" t="str">
        <f>IFERROR(VLOOKUP(VLOOKUP($CU$5,'Move History'!$A$2:$NB$516,(15*($CQ17-1))+CT$11+1,0),Tables!$AX$2:$BD$53,7,0),0)</f>
        <v>8♥</v>
      </c>
      <c r="CU17" s="187" t="str">
        <f>IFERROR(VLOOKUP(VLOOKUP($CU$5,'Move History'!$A$2:$NB$516,(15*($CQ17-1))+CU$11+1,0),Tables!$AX$2:$BD$53,7,0),0)</f>
        <v>3♣</v>
      </c>
      <c r="CV17" s="187" t="str">
        <f>IFERROR(VLOOKUP(VLOOKUP($CU$5,'Move History'!$A$2:$NB$516,(15*($CQ17-1))+CV$11+1,0),Tables!$AX$2:$BD$53,7,0),0)</f>
        <v>2♠</v>
      </c>
      <c r="CW17" s="187" t="str">
        <f>IFERROR(VLOOKUP(VLOOKUP($CU$5,'Move History'!$A$2:$NB$516,(15*($CQ17-1))+CW$11+1,0),Tables!$AX$2:$BD$53,7,0),0)</f>
        <v>K♣</v>
      </c>
      <c r="CX17" s="187">
        <f>IFERROR(VLOOKUP(VLOOKUP($CU$5,'Move History'!$A$2:$NB$516,(15*($CQ17-1))+CX$11+1,0),Tables!$AX$2:$BD$53,7,0),0)</f>
        <v>0</v>
      </c>
      <c r="CY17" s="187">
        <f>IFERROR(VLOOKUP(VLOOKUP($CU$5,'Move History'!$A$2:$NB$516,(15*($CQ17-1))+CY$11+1,0),Tables!$AX$2:$BD$53,7,0),0)</f>
        <v>0</v>
      </c>
      <c r="CZ17" s="187">
        <f>IFERROR(VLOOKUP(VLOOKUP($CU$5,'Move History'!$A$2:$NB$516,(15*($CQ17-1))+CZ$11+1,0),Tables!$AX$2:$BD$53,7,0),0)</f>
        <v>0</v>
      </c>
      <c r="DA17" s="187">
        <f>IFERROR(VLOOKUP(VLOOKUP($CU$5,'Move History'!$A$2:$NB$516,(15*($CQ17-1))+DA$11+1,0),Tables!$AX$2:$BD$53,7,0),0)</f>
        <v>0</v>
      </c>
      <c r="DB17" s="187">
        <f>IFERROR(VLOOKUP(VLOOKUP($CU$5,'Move History'!$A$2:$NB$516,(15*($CQ17-1))+DB$11+1,0),Tables!$AX$2:$BD$53,7,0),0)</f>
        <v>0</v>
      </c>
      <c r="DC17" s="187">
        <f>IFERROR(VLOOKUP(VLOOKUP($CU$5,'Move History'!$A$2:$NB$516,(15*($CQ17-1))+DC$11+1,0),Tables!$AX$2:$BD$53,7,0),0)</f>
        <v>0</v>
      </c>
      <c r="DD17" s="187">
        <f>IFERROR(VLOOKUP(VLOOKUP($CU$5,'Move History'!$A$2:$NB$516,(15*($CQ17-1))+DD$11+1,0),Tables!$AX$2:$BD$53,7,0),0)</f>
        <v>0</v>
      </c>
      <c r="DE17" s="187">
        <f>IFERROR(VLOOKUP(VLOOKUP($CU$5,'Move History'!$A$2:$NB$516,(15*($CQ17-1))+DE$11+1,0),Tables!$AX$2:$BD$53,7,0),0)</f>
        <v>0</v>
      </c>
      <c r="DF17" s="196">
        <f>IFERROR(VLOOKUP(VLOOKUP($CU$5,'Move History'!$A$2:$NB$516,(15*($CQ17-1))+DF$11+1,0),Tables!$AX$2:$BD$53,7,0),0)</f>
        <v>0</v>
      </c>
      <c r="DG17" s="18"/>
      <c r="DH17" s="18"/>
      <c r="DI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</row>
    <row r="18" spans="1:130" ht="15" customHeight="1" thickBot="1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222"/>
      <c r="W18" s="223"/>
      <c r="X18" s="227"/>
      <c r="Y18" s="228"/>
      <c r="Z18" s="228"/>
      <c r="AA18" s="229"/>
      <c r="AB18" s="18"/>
      <c r="AC18" s="18"/>
      <c r="AD18" s="227"/>
      <c r="AE18" s="228"/>
      <c r="AF18" s="228"/>
      <c r="AG18" s="229"/>
      <c r="AH18" s="18"/>
      <c r="AI18" s="227"/>
      <c r="AJ18" s="228"/>
      <c r="AK18" s="228"/>
      <c r="AL18" s="229"/>
      <c r="AM18" s="18"/>
      <c r="AN18" s="227"/>
      <c r="AO18" s="228"/>
      <c r="AP18" s="228"/>
      <c r="AQ18" s="229"/>
      <c r="AR18" s="18"/>
      <c r="AS18" s="227"/>
      <c r="AT18" s="228"/>
      <c r="AU18" s="228"/>
      <c r="AV18" s="229"/>
      <c r="AW18" s="18"/>
      <c r="AX18" s="227"/>
      <c r="AY18" s="228"/>
      <c r="AZ18" s="228"/>
      <c r="BA18" s="229"/>
      <c r="BB18" s="18"/>
      <c r="BC18" s="227"/>
      <c r="BD18" s="228"/>
      <c r="BE18" s="228"/>
      <c r="BF18" s="229"/>
      <c r="BG18" s="18"/>
      <c r="BH18" s="227"/>
      <c r="BI18" s="228"/>
      <c r="BJ18" s="228"/>
      <c r="BK18" s="229"/>
      <c r="BL18" s="18"/>
      <c r="BM18" s="227"/>
      <c r="BN18" s="228"/>
      <c r="BO18" s="228"/>
      <c r="BP18" s="229"/>
      <c r="BQ18" s="18"/>
      <c r="BR18" s="227"/>
      <c r="BS18" s="228"/>
      <c r="BT18" s="228"/>
      <c r="BU18" s="229"/>
      <c r="BV18" s="18"/>
      <c r="BW18" s="227"/>
      <c r="BX18" s="228"/>
      <c r="BY18" s="228"/>
      <c r="BZ18" s="229"/>
      <c r="CA18" s="18"/>
      <c r="CB18" s="227"/>
      <c r="CC18" s="228"/>
      <c r="CD18" s="228"/>
      <c r="CE18" s="229"/>
      <c r="CF18" s="18"/>
      <c r="CG18" s="227"/>
      <c r="CH18" s="228"/>
      <c r="CI18" s="228"/>
      <c r="CJ18" s="229"/>
      <c r="CK18" s="18"/>
      <c r="CL18" s="227"/>
      <c r="CM18" s="228"/>
      <c r="CN18" s="228"/>
      <c r="CO18" s="229"/>
      <c r="CP18" s="18"/>
      <c r="CQ18" s="190">
        <v>7</v>
      </c>
      <c r="CR18" s="195" t="str">
        <f>IFERROR(VLOOKUP(VLOOKUP($CU$5,'Move History'!$A$2:$NB$516,(15*($CQ18-1))+CR$11+1,0),Tables!$AX$2:$BD$53,7,0),0)</f>
        <v>X♠</v>
      </c>
      <c r="CS18" s="187" t="str">
        <f>IFERROR(VLOOKUP(VLOOKUP($CU$5,'Move History'!$A$2:$NB$516,(15*($CQ18-1))+CS$11+1,0),Tables!$AX$2:$BD$53,7,0),0)</f>
        <v>A♥</v>
      </c>
      <c r="CT18" s="187" t="str">
        <f>IFERROR(VLOOKUP(VLOOKUP($CU$5,'Move History'!$A$2:$NB$516,(15*($CQ18-1))+CT$11+1,0),Tables!$AX$2:$BD$53,7,0),0)</f>
        <v>6♣</v>
      </c>
      <c r="CU18" s="187" t="str">
        <f>IFERROR(VLOOKUP(VLOOKUP($CU$5,'Move History'!$A$2:$NB$516,(15*($CQ18-1))+CU$11+1,0),Tables!$AX$2:$BD$53,7,0),0)</f>
        <v>9♣</v>
      </c>
      <c r="CV18" s="187" t="str">
        <f>IFERROR(VLOOKUP(VLOOKUP($CU$5,'Move History'!$A$2:$NB$516,(15*($CQ18-1))+CV$11+1,0),Tables!$AX$2:$BD$53,7,0),0)</f>
        <v>X♥</v>
      </c>
      <c r="CW18" s="187" t="str">
        <f>IFERROR(VLOOKUP(VLOOKUP($CU$5,'Move History'!$A$2:$NB$516,(15*($CQ18-1))+CW$11+1,0),Tables!$AX$2:$BD$53,7,0),0)</f>
        <v>2♦</v>
      </c>
      <c r="CX18" s="187">
        <f>IFERROR(VLOOKUP(VLOOKUP($CU$5,'Move History'!$A$2:$NB$516,(15*($CQ18-1))+CX$11+1,0),Tables!$AX$2:$BD$53,7,0),0)</f>
        <v>0</v>
      </c>
      <c r="CY18" s="187">
        <f>IFERROR(VLOOKUP(VLOOKUP($CU$5,'Move History'!$A$2:$NB$516,(15*($CQ18-1))+CY$11+1,0),Tables!$AX$2:$BD$53,7,0),0)</f>
        <v>0</v>
      </c>
      <c r="CZ18" s="187">
        <f>IFERROR(VLOOKUP(VLOOKUP($CU$5,'Move History'!$A$2:$NB$516,(15*($CQ18-1))+CZ$11+1,0),Tables!$AX$2:$BD$53,7,0),0)</f>
        <v>0</v>
      </c>
      <c r="DA18" s="187">
        <f>IFERROR(VLOOKUP(VLOOKUP($CU$5,'Move History'!$A$2:$NB$516,(15*($CQ18-1))+DA$11+1,0),Tables!$AX$2:$BD$53,7,0),0)</f>
        <v>0</v>
      </c>
      <c r="DB18" s="187">
        <f>IFERROR(VLOOKUP(VLOOKUP($CU$5,'Move History'!$A$2:$NB$516,(15*($CQ18-1))+DB$11+1,0),Tables!$AX$2:$BD$53,7,0),0)</f>
        <v>0</v>
      </c>
      <c r="DC18" s="187">
        <f>IFERROR(VLOOKUP(VLOOKUP($CU$5,'Move History'!$A$2:$NB$516,(15*($CQ18-1))+DC$11+1,0),Tables!$AX$2:$BD$53,7,0),0)</f>
        <v>0</v>
      </c>
      <c r="DD18" s="187">
        <f>IFERROR(VLOOKUP(VLOOKUP($CU$5,'Move History'!$A$2:$NB$516,(15*($CQ18-1))+DD$11+1,0),Tables!$AX$2:$BD$53,7,0),0)</f>
        <v>0</v>
      </c>
      <c r="DE18" s="187">
        <f>IFERROR(VLOOKUP(VLOOKUP($CU$5,'Move History'!$A$2:$NB$516,(15*($CQ18-1))+DE$11+1,0),Tables!$AX$2:$BD$53,7,0),0)</f>
        <v>0</v>
      </c>
      <c r="DF18" s="196">
        <f>IFERROR(VLOOKUP(VLOOKUP($CU$5,'Move History'!$A$2:$NB$516,(15*($CQ18-1))+DF$11+1,0),Tables!$AX$2:$BD$53,7,0),0)</f>
        <v>0</v>
      </c>
      <c r="DG18" s="18"/>
      <c r="DH18" s="18"/>
      <c r="DI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</row>
    <row r="19" spans="1:130" ht="15" customHeight="1" x14ac:dyDescent="0.25">
      <c r="A19" s="18"/>
      <c r="B19" s="18"/>
      <c r="C19" s="18"/>
      <c r="D19" s="242" t="s">
        <v>10</v>
      </c>
      <c r="E19" s="243"/>
      <c r="F19" s="18"/>
      <c r="G19" s="266" t="str">
        <f>'Display Map'!C5</f>
        <v>Ace</v>
      </c>
      <c r="H19" s="267"/>
      <c r="I19" s="267"/>
      <c r="J19" s="268"/>
      <c r="K19" s="18"/>
      <c r="L19" s="266" t="str">
        <f>'Display Map'!D5</f>
        <v>King</v>
      </c>
      <c r="M19" s="267"/>
      <c r="N19" s="267"/>
      <c r="O19" s="268"/>
      <c r="P19" s="18"/>
      <c r="Q19" s="18"/>
      <c r="R19" s="18"/>
      <c r="S19" s="18"/>
      <c r="T19" s="18"/>
      <c r="U19" s="18"/>
      <c r="V19" s="220" t="b">
        <f>Selections!U10</f>
        <v>0</v>
      </c>
      <c r="W19" s="221"/>
      <c r="X19" s="224" t="str">
        <f>'Display Map'!G10</f>
        <v/>
      </c>
      <c r="Y19" s="225"/>
      <c r="Z19" s="225"/>
      <c r="AA19" s="226"/>
      <c r="AB19" s="18"/>
      <c r="AC19" s="18"/>
      <c r="AD19" s="224" t="str">
        <f>'Display Map'!K10</f>
        <v/>
      </c>
      <c r="AE19" s="225"/>
      <c r="AF19" s="225"/>
      <c r="AG19" s="226"/>
      <c r="AH19" s="18"/>
      <c r="AI19" s="224" t="str">
        <f>'Display Map'!L10</f>
        <v/>
      </c>
      <c r="AJ19" s="225"/>
      <c r="AK19" s="225"/>
      <c r="AL19" s="226"/>
      <c r="AM19" s="18"/>
      <c r="AN19" s="224" t="str">
        <f>'Display Map'!M10</f>
        <v/>
      </c>
      <c r="AO19" s="225"/>
      <c r="AP19" s="225"/>
      <c r="AQ19" s="226"/>
      <c r="AR19" s="18"/>
      <c r="AS19" s="224" t="str">
        <f>'Display Map'!N10</f>
        <v/>
      </c>
      <c r="AT19" s="225"/>
      <c r="AU19" s="225"/>
      <c r="AV19" s="226"/>
      <c r="AW19" s="18"/>
      <c r="AX19" s="224" t="str">
        <f>'Display Map'!O10</f>
        <v/>
      </c>
      <c r="AY19" s="225"/>
      <c r="AZ19" s="225"/>
      <c r="BA19" s="226"/>
      <c r="BB19" s="18"/>
      <c r="BC19" s="224" t="str">
        <f>'Display Map'!P10</f>
        <v/>
      </c>
      <c r="BD19" s="225"/>
      <c r="BE19" s="225"/>
      <c r="BF19" s="226"/>
      <c r="BG19" s="18"/>
      <c r="BH19" s="224" t="str">
        <f>'Display Map'!Q10</f>
        <v/>
      </c>
      <c r="BI19" s="225"/>
      <c r="BJ19" s="225"/>
      <c r="BK19" s="226"/>
      <c r="BL19" s="18"/>
      <c r="BM19" s="224" t="str">
        <f>'Display Map'!R10</f>
        <v/>
      </c>
      <c r="BN19" s="225"/>
      <c r="BO19" s="225"/>
      <c r="BP19" s="226"/>
      <c r="BQ19" s="18"/>
      <c r="BR19" s="224" t="str">
        <f>'Display Map'!S10</f>
        <v/>
      </c>
      <c r="BS19" s="225"/>
      <c r="BT19" s="225"/>
      <c r="BU19" s="226"/>
      <c r="BV19" s="18"/>
      <c r="BW19" s="224" t="str">
        <f>'Display Map'!T10</f>
        <v/>
      </c>
      <c r="BX19" s="225"/>
      <c r="BY19" s="225"/>
      <c r="BZ19" s="226"/>
      <c r="CA19" s="18"/>
      <c r="CB19" s="224" t="str">
        <f>'Display Map'!U10</f>
        <v/>
      </c>
      <c r="CC19" s="225"/>
      <c r="CD19" s="225"/>
      <c r="CE19" s="226"/>
      <c r="CF19" s="18"/>
      <c r="CG19" s="224" t="str">
        <f>'Display Map'!V10</f>
        <v/>
      </c>
      <c r="CH19" s="225"/>
      <c r="CI19" s="225"/>
      <c r="CJ19" s="226"/>
      <c r="CK19" s="18"/>
      <c r="CL19" s="224" t="str">
        <f>'Display Map'!W10</f>
        <v/>
      </c>
      <c r="CM19" s="225"/>
      <c r="CN19" s="225"/>
      <c r="CO19" s="226"/>
      <c r="CP19" s="18"/>
      <c r="CQ19" s="190">
        <v>8</v>
      </c>
      <c r="CR19" s="195" t="str">
        <f>IFERROR(VLOOKUP(VLOOKUP($CU$5,'Move History'!$A$2:$NB$516,(15*($CQ19-1))+CR$11+1,0),Tables!$AX$2:$BD$53,7,0),0)</f>
        <v>Q♥</v>
      </c>
      <c r="CS19" s="187" t="str">
        <f>IFERROR(VLOOKUP(VLOOKUP($CU$5,'Move History'!$A$2:$NB$516,(15*($CQ19-1))+CS$11+1,0),Tables!$AX$2:$BD$53,7,0),0)</f>
        <v>8♠</v>
      </c>
      <c r="CT19" s="187" t="str">
        <f>IFERROR(VLOOKUP(VLOOKUP($CU$5,'Move History'!$A$2:$NB$516,(15*($CQ19-1))+CT$11+1,0),Tables!$AX$2:$BD$53,7,0),0)</f>
        <v>Q♦</v>
      </c>
      <c r="CU19" s="187" t="str">
        <f>IFERROR(VLOOKUP(VLOOKUP($CU$5,'Move History'!$A$2:$NB$516,(15*($CQ19-1))+CU$11+1,0),Tables!$AX$2:$BD$53,7,0),0)</f>
        <v>J♦</v>
      </c>
      <c r="CV19" s="187" t="str">
        <f>IFERROR(VLOOKUP(VLOOKUP($CU$5,'Move History'!$A$2:$NB$516,(15*($CQ19-1))+CV$11+1,0),Tables!$AX$2:$BD$53,7,0),0)</f>
        <v>4♥</v>
      </c>
      <c r="CW19" s="187" t="str">
        <f>IFERROR(VLOOKUP(VLOOKUP($CU$5,'Move History'!$A$2:$NB$516,(15*($CQ19-1))+CW$11+1,0),Tables!$AX$2:$BD$53,7,0),0)</f>
        <v>6♠</v>
      </c>
      <c r="CX19" s="187">
        <f>IFERROR(VLOOKUP(VLOOKUP($CU$5,'Move History'!$A$2:$NB$516,(15*($CQ19-1))+CX$11+1,0),Tables!$AX$2:$BD$53,7,0),0)</f>
        <v>0</v>
      </c>
      <c r="CY19" s="187">
        <f>IFERROR(VLOOKUP(VLOOKUP($CU$5,'Move History'!$A$2:$NB$516,(15*($CQ19-1))+CY$11+1,0),Tables!$AX$2:$BD$53,7,0),0)</f>
        <v>0</v>
      </c>
      <c r="CZ19" s="187">
        <f>IFERROR(VLOOKUP(VLOOKUP($CU$5,'Move History'!$A$2:$NB$516,(15*($CQ19-1))+CZ$11+1,0),Tables!$AX$2:$BD$53,7,0),0)</f>
        <v>0</v>
      </c>
      <c r="DA19" s="187">
        <f>IFERROR(VLOOKUP(VLOOKUP($CU$5,'Move History'!$A$2:$NB$516,(15*($CQ19-1))+DA$11+1,0),Tables!$AX$2:$BD$53,7,0),0)</f>
        <v>0</v>
      </c>
      <c r="DB19" s="187">
        <f>IFERROR(VLOOKUP(VLOOKUP($CU$5,'Move History'!$A$2:$NB$516,(15*($CQ19-1))+DB$11+1,0),Tables!$AX$2:$BD$53,7,0),0)</f>
        <v>0</v>
      </c>
      <c r="DC19" s="187">
        <f>IFERROR(VLOOKUP(VLOOKUP($CU$5,'Move History'!$A$2:$NB$516,(15*($CQ19-1))+DC$11+1,0),Tables!$AX$2:$BD$53,7,0),0)</f>
        <v>0</v>
      </c>
      <c r="DD19" s="187">
        <f>IFERROR(VLOOKUP(VLOOKUP($CU$5,'Move History'!$A$2:$NB$516,(15*($CQ19-1))+DD$11+1,0),Tables!$AX$2:$BD$53,7,0),0)</f>
        <v>0</v>
      </c>
      <c r="DE19" s="187">
        <f>IFERROR(VLOOKUP(VLOOKUP($CU$5,'Move History'!$A$2:$NB$516,(15*($CQ19-1))+DE$11+1,0),Tables!$AX$2:$BD$53,7,0),0)</f>
        <v>0</v>
      </c>
      <c r="DF19" s="196">
        <f>IFERROR(VLOOKUP(VLOOKUP($CU$5,'Move History'!$A$2:$NB$516,(15*($CQ19-1))+DF$11+1,0),Tables!$AX$2:$BD$53,7,0),0)</f>
        <v>0</v>
      </c>
      <c r="DG19" s="18"/>
      <c r="DH19" s="18" t="s">
        <v>535</v>
      </c>
      <c r="DI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</row>
    <row r="20" spans="1:130" ht="15" customHeight="1" thickBot="1" x14ac:dyDescent="0.3">
      <c r="A20" s="18"/>
      <c r="B20" s="18"/>
      <c r="C20" s="18"/>
      <c r="D20" s="244"/>
      <c r="E20" s="245"/>
      <c r="F20" s="18"/>
      <c r="G20" s="269"/>
      <c r="H20" s="270"/>
      <c r="I20" s="270"/>
      <c r="J20" s="271"/>
      <c r="K20" s="18"/>
      <c r="L20" s="269"/>
      <c r="M20" s="270"/>
      <c r="N20" s="270"/>
      <c r="O20" s="271"/>
      <c r="P20" s="18"/>
      <c r="Q20" s="18"/>
      <c r="R20" s="18"/>
      <c r="S20" s="18"/>
      <c r="T20" s="18"/>
      <c r="U20" s="18"/>
      <c r="V20" s="222"/>
      <c r="W20" s="223"/>
      <c r="X20" s="227"/>
      <c r="Y20" s="228"/>
      <c r="Z20" s="228"/>
      <c r="AA20" s="229"/>
      <c r="AB20" s="18"/>
      <c r="AC20" s="18"/>
      <c r="AD20" s="227"/>
      <c r="AE20" s="228"/>
      <c r="AF20" s="228"/>
      <c r="AG20" s="229"/>
      <c r="AH20" s="18"/>
      <c r="AI20" s="227"/>
      <c r="AJ20" s="228"/>
      <c r="AK20" s="228"/>
      <c r="AL20" s="229"/>
      <c r="AM20" s="18"/>
      <c r="AN20" s="227"/>
      <c r="AO20" s="228"/>
      <c r="AP20" s="228"/>
      <c r="AQ20" s="229"/>
      <c r="AR20" s="18"/>
      <c r="AS20" s="227"/>
      <c r="AT20" s="228"/>
      <c r="AU20" s="228"/>
      <c r="AV20" s="229"/>
      <c r="AW20" s="18"/>
      <c r="AX20" s="227"/>
      <c r="AY20" s="228"/>
      <c r="AZ20" s="228"/>
      <c r="BA20" s="229"/>
      <c r="BB20" s="18"/>
      <c r="BC20" s="227"/>
      <c r="BD20" s="228"/>
      <c r="BE20" s="228"/>
      <c r="BF20" s="229"/>
      <c r="BG20" s="18"/>
      <c r="BH20" s="227"/>
      <c r="BI20" s="228"/>
      <c r="BJ20" s="228"/>
      <c r="BK20" s="229"/>
      <c r="BL20" s="18"/>
      <c r="BM20" s="227"/>
      <c r="BN20" s="228"/>
      <c r="BO20" s="228"/>
      <c r="BP20" s="229"/>
      <c r="BQ20" s="18"/>
      <c r="BR20" s="227"/>
      <c r="BS20" s="228"/>
      <c r="BT20" s="228"/>
      <c r="BU20" s="229"/>
      <c r="BV20" s="18"/>
      <c r="BW20" s="227"/>
      <c r="BX20" s="228"/>
      <c r="BY20" s="228"/>
      <c r="BZ20" s="229"/>
      <c r="CA20" s="18"/>
      <c r="CB20" s="227"/>
      <c r="CC20" s="228"/>
      <c r="CD20" s="228"/>
      <c r="CE20" s="229"/>
      <c r="CF20" s="18"/>
      <c r="CG20" s="227"/>
      <c r="CH20" s="228"/>
      <c r="CI20" s="228"/>
      <c r="CJ20" s="229"/>
      <c r="CK20" s="18"/>
      <c r="CL20" s="227"/>
      <c r="CM20" s="228"/>
      <c r="CN20" s="228"/>
      <c r="CO20" s="229"/>
      <c r="CP20" s="18"/>
      <c r="CQ20" s="190">
        <v>9</v>
      </c>
      <c r="CR20" s="195" t="str">
        <f>IFERROR(VLOOKUP(VLOOKUP($CU$5,'Move History'!$A$2:$NB$516,(15*($CQ20-1))+CR$11+1,0),Tables!$AX$2:$BD$53,7,0),0)</f>
        <v>9♦</v>
      </c>
      <c r="CS20" s="187" t="str">
        <f>IFERROR(VLOOKUP(VLOOKUP($CU$5,'Move History'!$A$2:$NB$516,(15*($CQ20-1))+CS$11+1,0),Tables!$AX$2:$BD$53,7,0),0)</f>
        <v>A♠</v>
      </c>
      <c r="CT20" s="187" t="str">
        <f>IFERROR(VLOOKUP(VLOOKUP($CU$5,'Move History'!$A$2:$NB$516,(15*($CQ20-1))+CT$11+1,0),Tables!$AX$2:$BD$53,7,0),0)</f>
        <v>9♥</v>
      </c>
      <c r="CU20" s="187" t="str">
        <f>IFERROR(VLOOKUP(VLOOKUP($CU$5,'Move History'!$A$2:$NB$516,(15*($CQ20-1))+CU$11+1,0),Tables!$AX$2:$BD$53,7,0),0)</f>
        <v>2♣</v>
      </c>
      <c r="CV20" s="187" t="str">
        <f>IFERROR(VLOOKUP(VLOOKUP($CU$5,'Move History'!$A$2:$NB$516,(15*($CQ20-1))+CV$11+1,0),Tables!$AX$2:$BD$53,7,0),0)</f>
        <v>5♥</v>
      </c>
      <c r="CW20" s="187" t="str">
        <f>IFERROR(VLOOKUP(VLOOKUP($CU$5,'Move History'!$A$2:$NB$516,(15*($CQ20-1))+CW$11+1,0),Tables!$AX$2:$BD$53,7,0),0)</f>
        <v>4♦</v>
      </c>
      <c r="CX20" s="187">
        <f>IFERROR(VLOOKUP(VLOOKUP($CU$5,'Move History'!$A$2:$NB$516,(15*($CQ20-1))+CX$11+1,0),Tables!$AX$2:$BD$53,7,0),0)</f>
        <v>0</v>
      </c>
      <c r="CY20" s="187">
        <f>IFERROR(VLOOKUP(VLOOKUP($CU$5,'Move History'!$A$2:$NB$516,(15*($CQ20-1))+CY$11+1,0),Tables!$AX$2:$BD$53,7,0),0)</f>
        <v>0</v>
      </c>
      <c r="CZ20" s="187">
        <f>IFERROR(VLOOKUP(VLOOKUP($CU$5,'Move History'!$A$2:$NB$516,(15*($CQ20-1))+CZ$11+1,0),Tables!$AX$2:$BD$53,7,0),0)</f>
        <v>0</v>
      </c>
      <c r="DA20" s="187">
        <f>IFERROR(VLOOKUP(VLOOKUP($CU$5,'Move History'!$A$2:$NB$516,(15*($CQ20-1))+DA$11+1,0),Tables!$AX$2:$BD$53,7,0),0)</f>
        <v>0</v>
      </c>
      <c r="DB20" s="187">
        <f>IFERROR(VLOOKUP(VLOOKUP($CU$5,'Move History'!$A$2:$NB$516,(15*($CQ20-1))+DB$11+1,0),Tables!$AX$2:$BD$53,7,0),0)</f>
        <v>0</v>
      </c>
      <c r="DC20" s="187">
        <f>IFERROR(VLOOKUP(VLOOKUP($CU$5,'Move History'!$A$2:$NB$516,(15*($CQ20-1))+DC$11+1,0),Tables!$AX$2:$BD$53,7,0),0)</f>
        <v>0</v>
      </c>
      <c r="DD20" s="187">
        <f>IFERROR(VLOOKUP(VLOOKUP($CU$5,'Move History'!$A$2:$NB$516,(15*($CQ20-1))+DD$11+1,0),Tables!$AX$2:$BD$53,7,0),0)</f>
        <v>0</v>
      </c>
      <c r="DE20" s="187">
        <f>IFERROR(VLOOKUP(VLOOKUP($CU$5,'Move History'!$A$2:$NB$516,(15*($CQ20-1))+DE$11+1,0),Tables!$AX$2:$BD$53,7,0),0)</f>
        <v>0</v>
      </c>
      <c r="DF20" s="196">
        <f>IFERROR(VLOOKUP(VLOOKUP($CU$5,'Move History'!$A$2:$NB$516,(15*($CQ20-1))+DF$11+1,0),Tables!$AX$2:$BD$53,7,0),0)</f>
        <v>0</v>
      </c>
      <c r="DG20" s="18"/>
      <c r="DH20" s="18"/>
      <c r="DI20" s="182">
        <v>1</v>
      </c>
      <c r="DJ20" s="183">
        <v>2</v>
      </c>
      <c r="DK20" s="183">
        <v>3</v>
      </c>
      <c r="DL20" s="183">
        <v>4</v>
      </c>
      <c r="DM20" s="183">
        <v>5</v>
      </c>
      <c r="DN20" s="183">
        <v>6</v>
      </c>
      <c r="DO20" s="183">
        <v>7</v>
      </c>
      <c r="DP20" s="183">
        <v>8</v>
      </c>
      <c r="DQ20" s="183">
        <v>9</v>
      </c>
      <c r="DR20" s="183">
        <v>10</v>
      </c>
      <c r="DS20" s="183">
        <v>11</v>
      </c>
      <c r="DT20" s="183">
        <v>12</v>
      </c>
      <c r="DU20" s="184">
        <v>13</v>
      </c>
      <c r="DV20" s="18"/>
      <c r="DW20" s="18"/>
      <c r="DX20" s="18"/>
      <c r="DY20" s="18"/>
      <c r="DZ20" s="18"/>
    </row>
    <row r="21" spans="1:130" ht="15" customHeight="1" x14ac:dyDescent="0.25">
      <c r="A21" s="18"/>
      <c r="B21" s="18"/>
      <c r="C21" s="18"/>
      <c r="D21" s="244"/>
      <c r="E21" s="245"/>
      <c r="F21" s="18"/>
      <c r="G21" s="118"/>
      <c r="H21" s="119"/>
      <c r="I21" s="220" t="b">
        <f>Selections!I5</f>
        <v>0</v>
      </c>
      <c r="J21" s="221"/>
      <c r="K21" s="18"/>
      <c r="L21" s="18"/>
      <c r="M21" s="18"/>
      <c r="N21" s="220" t="b">
        <f>Selections!I9</f>
        <v>0</v>
      </c>
      <c r="O21" s="221"/>
      <c r="P21" s="18"/>
      <c r="Q21" s="18"/>
      <c r="R21" s="18"/>
      <c r="S21" s="18"/>
      <c r="T21" s="18"/>
      <c r="U21" s="18"/>
      <c r="V21" s="220" t="b">
        <f>Selections!U11</f>
        <v>0</v>
      </c>
      <c r="W21" s="221"/>
      <c r="X21" s="224" t="str">
        <f>'Display Map'!G11</f>
        <v/>
      </c>
      <c r="Y21" s="225"/>
      <c r="Z21" s="225"/>
      <c r="AA21" s="226"/>
      <c r="AB21" s="18"/>
      <c r="AC21" s="18"/>
      <c r="AD21" s="224" t="str">
        <f>'Display Map'!K11</f>
        <v/>
      </c>
      <c r="AE21" s="225"/>
      <c r="AF21" s="225"/>
      <c r="AG21" s="226"/>
      <c r="AH21" s="18"/>
      <c r="AI21" s="224" t="str">
        <f>'Display Map'!L11</f>
        <v/>
      </c>
      <c r="AJ21" s="225"/>
      <c r="AK21" s="225"/>
      <c r="AL21" s="226"/>
      <c r="AM21" s="18"/>
      <c r="AN21" s="224" t="str">
        <f>'Display Map'!M11</f>
        <v/>
      </c>
      <c r="AO21" s="225"/>
      <c r="AP21" s="225"/>
      <c r="AQ21" s="226"/>
      <c r="AR21" s="18"/>
      <c r="AS21" s="224" t="str">
        <f>'Display Map'!N11</f>
        <v/>
      </c>
      <c r="AT21" s="225"/>
      <c r="AU21" s="225"/>
      <c r="AV21" s="226"/>
      <c r="AW21" s="18"/>
      <c r="AX21" s="224" t="str">
        <f>'Display Map'!O11</f>
        <v/>
      </c>
      <c r="AY21" s="225"/>
      <c r="AZ21" s="225"/>
      <c r="BA21" s="226"/>
      <c r="BB21" s="18"/>
      <c r="BC21" s="224" t="str">
        <f>'Display Map'!P11</f>
        <v/>
      </c>
      <c r="BD21" s="225"/>
      <c r="BE21" s="225"/>
      <c r="BF21" s="226"/>
      <c r="BG21" s="18"/>
      <c r="BH21" s="224" t="str">
        <f>'Display Map'!Q11</f>
        <v/>
      </c>
      <c r="BI21" s="225"/>
      <c r="BJ21" s="225"/>
      <c r="BK21" s="226"/>
      <c r="BL21" s="18"/>
      <c r="BM21" s="224" t="str">
        <f>'Display Map'!R11</f>
        <v/>
      </c>
      <c r="BN21" s="225"/>
      <c r="BO21" s="225"/>
      <c r="BP21" s="226"/>
      <c r="BQ21" s="18"/>
      <c r="BR21" s="224" t="str">
        <f>'Display Map'!S11</f>
        <v/>
      </c>
      <c r="BS21" s="225"/>
      <c r="BT21" s="225"/>
      <c r="BU21" s="226"/>
      <c r="BV21" s="18"/>
      <c r="BW21" s="224" t="str">
        <f>'Display Map'!T11</f>
        <v/>
      </c>
      <c r="BX21" s="225"/>
      <c r="BY21" s="225"/>
      <c r="BZ21" s="226"/>
      <c r="CA21" s="18"/>
      <c r="CB21" s="224" t="str">
        <f>'Display Map'!U11</f>
        <v/>
      </c>
      <c r="CC21" s="225"/>
      <c r="CD21" s="225"/>
      <c r="CE21" s="226"/>
      <c r="CF21" s="18"/>
      <c r="CG21" s="224" t="str">
        <f>'Display Map'!V11</f>
        <v/>
      </c>
      <c r="CH21" s="225"/>
      <c r="CI21" s="225"/>
      <c r="CJ21" s="226"/>
      <c r="CK21" s="18"/>
      <c r="CL21" s="224" t="str">
        <f>'Display Map'!W11</f>
        <v/>
      </c>
      <c r="CM21" s="225"/>
      <c r="CN21" s="225"/>
      <c r="CO21" s="226"/>
      <c r="CP21" s="18"/>
      <c r="CQ21" s="190">
        <v>10</v>
      </c>
      <c r="CR21" s="195" t="str">
        <f>IFERROR(VLOOKUP(VLOOKUP($CU$5,'Move History'!$A$2:$NB$516,(15*($CQ21-1))+CR$11+1,0),Tables!$AX$2:$BD$53,7,0),0)</f>
        <v>7♥</v>
      </c>
      <c r="CS21" s="187" t="str">
        <f>IFERROR(VLOOKUP(VLOOKUP($CU$5,'Move History'!$A$2:$NB$516,(15*($CQ21-1))+CS$11+1,0),Tables!$AX$2:$BD$53,7,0),0)</f>
        <v>3♦</v>
      </c>
      <c r="CT21" s="187" t="str">
        <f>IFERROR(VLOOKUP(VLOOKUP($CU$5,'Move History'!$A$2:$NB$516,(15*($CQ21-1))+CT$11+1,0),Tables!$AX$2:$BD$53,7,0),0)</f>
        <v>3♥</v>
      </c>
      <c r="CU21" s="187" t="str">
        <f>IFERROR(VLOOKUP(VLOOKUP($CU$5,'Move History'!$A$2:$NB$516,(15*($CQ21-1))+CU$11+1,0),Tables!$AX$2:$BD$53,7,0),0)</f>
        <v>K♠</v>
      </c>
      <c r="CV21" s="187" t="str">
        <f>IFERROR(VLOOKUP(VLOOKUP($CU$5,'Move History'!$A$2:$NB$516,(15*($CQ21-1))+CV$11+1,0),Tables!$AX$2:$BD$53,7,0),0)</f>
        <v>J♠</v>
      </c>
      <c r="CW21" s="187" t="str">
        <f>IFERROR(VLOOKUP(VLOOKUP($CU$5,'Move History'!$A$2:$NB$516,(15*($CQ21-1))+CW$11+1,0),Tables!$AX$2:$BD$53,7,0),0)</f>
        <v>8♣</v>
      </c>
      <c r="CX21" s="187">
        <f>IFERROR(VLOOKUP(VLOOKUP($CU$5,'Move History'!$A$2:$NB$516,(15*($CQ21-1))+CX$11+1,0),Tables!$AX$2:$BD$53,7,0),0)</f>
        <v>0</v>
      </c>
      <c r="CY21" s="187">
        <f>IFERROR(VLOOKUP(VLOOKUP($CU$5,'Move History'!$A$2:$NB$516,(15*($CQ21-1))+CY$11+1,0),Tables!$AX$2:$BD$53,7,0),0)</f>
        <v>0</v>
      </c>
      <c r="CZ21" s="187">
        <f>IFERROR(VLOOKUP(VLOOKUP($CU$5,'Move History'!$A$2:$NB$516,(15*($CQ21-1))+CZ$11+1,0),Tables!$AX$2:$BD$53,7,0),0)</f>
        <v>0</v>
      </c>
      <c r="DA21" s="187">
        <f>IFERROR(VLOOKUP(VLOOKUP($CU$5,'Move History'!$A$2:$NB$516,(15*($CQ21-1))+DA$11+1,0),Tables!$AX$2:$BD$53,7,0),0)</f>
        <v>0</v>
      </c>
      <c r="DB21" s="187">
        <f>IFERROR(VLOOKUP(VLOOKUP($CU$5,'Move History'!$A$2:$NB$516,(15*($CQ21-1))+DB$11+1,0),Tables!$AX$2:$BD$53,7,0),0)</f>
        <v>0</v>
      </c>
      <c r="DC21" s="187">
        <f>IFERROR(VLOOKUP(VLOOKUP($CU$5,'Move History'!$A$2:$NB$516,(15*($CQ21-1))+DC$11+1,0),Tables!$AX$2:$BD$53,7,0),0)</f>
        <v>0</v>
      </c>
      <c r="DD21" s="187">
        <f>IFERROR(VLOOKUP(VLOOKUP($CU$5,'Move History'!$A$2:$NB$516,(15*($CQ21-1))+DD$11+1,0),Tables!$AX$2:$BD$53,7,0),0)</f>
        <v>0</v>
      </c>
      <c r="DE21" s="187">
        <f>IFERROR(VLOOKUP(VLOOKUP($CU$5,'Move History'!$A$2:$NB$516,(15*($CQ21-1))+DE$11+1,0),Tables!$AX$2:$BD$53,7,0),0)</f>
        <v>0</v>
      </c>
      <c r="DF21" s="196">
        <f>IFERROR(VLOOKUP(VLOOKUP($CU$5,'Move History'!$A$2:$NB$516,(15*($CQ21-1))+DF$11+1,0),Tables!$AX$2:$BD$53,7,0),0)</f>
        <v>0</v>
      </c>
      <c r="DG21" s="18"/>
      <c r="DH21" s="185">
        <v>1</v>
      </c>
      <c r="DI21" s="179">
        <f>IFERROR(VLOOKUP(VLOOKUP($CU$5,'Move History'!$A$2:$NB$516,(13*($DH21-1))+DI$20+262,0),Tables!$AX$2:$BD$53,7,0),0)</f>
        <v>0</v>
      </c>
      <c r="DJ21" s="180">
        <f>IFERROR(VLOOKUP(VLOOKUP($CU$5,'Move History'!$A$2:$NB$516,(13*($DH21-1))+DJ$20+262,0),Tables!$AX$2:$BD$53,7,0),0)</f>
        <v>0</v>
      </c>
      <c r="DK21" s="180">
        <f>IFERROR(VLOOKUP(VLOOKUP($CU$5,'Move History'!$A$2:$NB$516,(13*($DH21-1))+DK$20+262,0),Tables!$AX$2:$BD$53,7,0),0)</f>
        <v>0</v>
      </c>
      <c r="DL21" s="180">
        <f>IFERROR(VLOOKUP(VLOOKUP($CU$5,'Move History'!$A$2:$NB$516,(13*($DH21-1))+DL$20+262,0),Tables!$AX$2:$BD$53,7,0),0)</f>
        <v>0</v>
      </c>
      <c r="DM21" s="180">
        <f>IFERROR(VLOOKUP(VLOOKUP($CU$5,'Move History'!$A$2:$NB$516,(13*($DH21-1))+DM$20+262,0),Tables!$AX$2:$BD$53,7,0),0)</f>
        <v>0</v>
      </c>
      <c r="DN21" s="180">
        <f>IFERROR(VLOOKUP(VLOOKUP($CU$5,'Move History'!$A$2:$NB$516,(13*($DH21-1))+DN$20+262,0),Tables!$AX$2:$BD$53,7,0),0)</f>
        <v>0</v>
      </c>
      <c r="DO21" s="180">
        <f>IFERROR(VLOOKUP(VLOOKUP($CU$5,'Move History'!$A$2:$NB$516,(13*($DH21-1))+DO$20+262,0),Tables!$AX$2:$BD$53,7,0),0)</f>
        <v>0</v>
      </c>
      <c r="DP21" s="180">
        <f>IFERROR(VLOOKUP(VLOOKUP($CU$5,'Move History'!$A$2:$NB$516,(13*($DH21-1))+DP$20+262,0),Tables!$AX$2:$BD$53,7,0),0)</f>
        <v>0</v>
      </c>
      <c r="DQ21" s="180">
        <f>IFERROR(VLOOKUP(VLOOKUP($CU$5,'Move History'!$A$2:$NB$516,(13*($DH21-1))+DQ$20+262,0),Tables!$AX$2:$BD$53,7,0),0)</f>
        <v>0</v>
      </c>
      <c r="DR21" s="180">
        <f>IFERROR(VLOOKUP(VLOOKUP($CU$5,'Move History'!$A$2:$NB$516,(13*($DH21-1))+DR$20+262,0),Tables!$AX$2:$BD$53,7,0),0)</f>
        <v>0</v>
      </c>
      <c r="DS21" s="180">
        <f>IFERROR(VLOOKUP(VLOOKUP($CU$5,'Move History'!$A$2:$NB$516,(13*($DH21-1))+DS$20+262,0),Tables!$AX$2:$BD$53,7,0),0)</f>
        <v>0</v>
      </c>
      <c r="DT21" s="180">
        <f>IFERROR(VLOOKUP(VLOOKUP($CU$5,'Move History'!$A$2:$NB$516,(13*($DH21-1))+DT$20+262,0),Tables!$AX$2:$BD$53,7,0),0)</f>
        <v>0</v>
      </c>
      <c r="DU21" s="181">
        <f>IFERROR(VLOOKUP(VLOOKUP($CU$5,'Move History'!$A$2:$NB$516,(13*($DH21-1))+DU$20+262,0),Tables!$AX$2:$BD$53,7,0),0)</f>
        <v>0</v>
      </c>
      <c r="DV21" s="18"/>
      <c r="DW21" s="18"/>
      <c r="DX21" s="18"/>
      <c r="DY21" s="18"/>
      <c r="DZ21" s="18"/>
    </row>
    <row r="22" spans="1:130" ht="15" customHeight="1" thickBot="1" x14ac:dyDescent="0.3">
      <c r="A22" s="18"/>
      <c r="B22" s="18"/>
      <c r="C22" s="18"/>
      <c r="D22" s="244"/>
      <c r="E22" s="245"/>
      <c r="F22" s="18"/>
      <c r="G22" s="120"/>
      <c r="H22" s="121"/>
      <c r="I22" s="222"/>
      <c r="J22" s="223"/>
      <c r="K22" s="18"/>
      <c r="L22" s="18"/>
      <c r="M22" s="18"/>
      <c r="N22" s="222"/>
      <c r="O22" s="223"/>
      <c r="P22" s="18"/>
      <c r="Q22" s="18"/>
      <c r="R22" s="18"/>
      <c r="S22" s="18"/>
      <c r="T22" s="18"/>
      <c r="U22" s="18"/>
      <c r="V22" s="222"/>
      <c r="W22" s="223"/>
      <c r="X22" s="227"/>
      <c r="Y22" s="228"/>
      <c r="Z22" s="228"/>
      <c r="AA22" s="229"/>
      <c r="AB22" s="18"/>
      <c r="AC22" s="18"/>
      <c r="AD22" s="227"/>
      <c r="AE22" s="228"/>
      <c r="AF22" s="228"/>
      <c r="AG22" s="229"/>
      <c r="AH22" s="18"/>
      <c r="AI22" s="227"/>
      <c r="AJ22" s="228"/>
      <c r="AK22" s="228"/>
      <c r="AL22" s="229"/>
      <c r="AM22" s="18"/>
      <c r="AN22" s="227"/>
      <c r="AO22" s="228"/>
      <c r="AP22" s="228"/>
      <c r="AQ22" s="229"/>
      <c r="AR22" s="18"/>
      <c r="AS22" s="227"/>
      <c r="AT22" s="228"/>
      <c r="AU22" s="228"/>
      <c r="AV22" s="229"/>
      <c r="AW22" s="18"/>
      <c r="AX22" s="227"/>
      <c r="AY22" s="228"/>
      <c r="AZ22" s="228"/>
      <c r="BA22" s="229"/>
      <c r="BB22" s="18"/>
      <c r="BC22" s="227"/>
      <c r="BD22" s="228"/>
      <c r="BE22" s="228"/>
      <c r="BF22" s="229"/>
      <c r="BG22" s="18"/>
      <c r="BH22" s="227"/>
      <c r="BI22" s="228"/>
      <c r="BJ22" s="228"/>
      <c r="BK22" s="229"/>
      <c r="BL22" s="18"/>
      <c r="BM22" s="227"/>
      <c r="BN22" s="228"/>
      <c r="BO22" s="228"/>
      <c r="BP22" s="229"/>
      <c r="BQ22" s="18"/>
      <c r="BR22" s="227"/>
      <c r="BS22" s="228"/>
      <c r="BT22" s="228"/>
      <c r="BU22" s="229"/>
      <c r="BV22" s="18"/>
      <c r="BW22" s="227"/>
      <c r="BX22" s="228"/>
      <c r="BY22" s="228"/>
      <c r="BZ22" s="229"/>
      <c r="CA22" s="18"/>
      <c r="CB22" s="227"/>
      <c r="CC22" s="228"/>
      <c r="CD22" s="228"/>
      <c r="CE22" s="229"/>
      <c r="CF22" s="18"/>
      <c r="CG22" s="227"/>
      <c r="CH22" s="228"/>
      <c r="CI22" s="228"/>
      <c r="CJ22" s="229"/>
      <c r="CK22" s="18"/>
      <c r="CL22" s="227"/>
      <c r="CM22" s="228"/>
      <c r="CN22" s="228"/>
      <c r="CO22" s="229"/>
      <c r="CP22" s="18"/>
      <c r="CQ22" s="190">
        <v>11</v>
      </c>
      <c r="CR22" s="195" t="str">
        <f>IFERROR(VLOOKUP(VLOOKUP($CU$5,'Move History'!$A$2:$NB$516,(15*($CQ22-1))+CR$11+1,0),Tables!$AX$2:$BD$53,7,0),0)</f>
        <v>9♠</v>
      </c>
      <c r="CS22" s="187" t="str">
        <f>IFERROR(VLOOKUP(VLOOKUP($CU$5,'Move History'!$A$2:$NB$516,(15*($CQ22-1))+CS$11+1,0),Tables!$AX$2:$BD$53,7,0),0)</f>
        <v>5♥</v>
      </c>
      <c r="CT22" s="187" t="str">
        <f>IFERROR(VLOOKUP(VLOOKUP($CU$5,'Move History'!$A$2:$NB$516,(15*($CQ22-1))+CT$11+1,0),Tables!$AX$2:$BD$53,7,0),0)</f>
        <v>A♠</v>
      </c>
      <c r="CU22" s="187" t="str">
        <f>IFERROR(VLOOKUP(VLOOKUP($CU$5,'Move History'!$A$2:$NB$516,(15*($CQ22-1))+CU$11+1,0),Tables!$AX$2:$BD$53,7,0),0)</f>
        <v>6♣</v>
      </c>
      <c r="CV22" s="187" t="str">
        <f>IFERROR(VLOOKUP(VLOOKUP($CU$5,'Move History'!$A$2:$NB$516,(15*($CQ22-1))+CV$11+1,0),Tables!$AX$2:$BD$53,7,0),0)</f>
        <v>K♦</v>
      </c>
      <c r="CW22" s="187" t="str">
        <f>IFERROR(VLOOKUP(VLOOKUP($CU$5,'Move History'!$A$2:$NB$516,(15*($CQ22-1))+CW$11+1,0),Tables!$AX$2:$BD$53,7,0),0)</f>
        <v>Q♣</v>
      </c>
      <c r="CX22" s="187">
        <f>IFERROR(VLOOKUP(VLOOKUP($CU$5,'Move History'!$A$2:$NB$516,(15*($CQ22-1))+CX$11+1,0),Tables!$AX$2:$BD$53,7,0),0)</f>
        <v>0</v>
      </c>
      <c r="CY22" s="187">
        <f>IFERROR(VLOOKUP(VLOOKUP($CU$5,'Move History'!$A$2:$NB$516,(15*($CQ22-1))+CY$11+1,0),Tables!$AX$2:$BD$53,7,0),0)</f>
        <v>0</v>
      </c>
      <c r="CZ22" s="187">
        <f>IFERROR(VLOOKUP(VLOOKUP($CU$5,'Move History'!$A$2:$NB$516,(15*($CQ22-1))+CZ$11+1,0),Tables!$AX$2:$BD$53,7,0),0)</f>
        <v>0</v>
      </c>
      <c r="DA22" s="187">
        <f>IFERROR(VLOOKUP(VLOOKUP($CU$5,'Move History'!$A$2:$NB$516,(15*($CQ22-1))+DA$11+1,0),Tables!$AX$2:$BD$53,7,0),0)</f>
        <v>0</v>
      </c>
      <c r="DB22" s="187">
        <f>IFERROR(VLOOKUP(VLOOKUP($CU$5,'Move History'!$A$2:$NB$516,(15*($CQ22-1))+DB$11+1,0),Tables!$AX$2:$BD$53,7,0),0)</f>
        <v>0</v>
      </c>
      <c r="DC22" s="187">
        <f>IFERROR(VLOOKUP(VLOOKUP($CU$5,'Move History'!$A$2:$NB$516,(15*($CQ22-1))+DC$11+1,0),Tables!$AX$2:$BD$53,7,0),0)</f>
        <v>0</v>
      </c>
      <c r="DD22" s="187">
        <f>IFERROR(VLOOKUP(VLOOKUP($CU$5,'Move History'!$A$2:$NB$516,(15*($CQ22-1))+DD$11+1,0),Tables!$AX$2:$BD$53,7,0),0)</f>
        <v>0</v>
      </c>
      <c r="DE22" s="187">
        <f>IFERROR(VLOOKUP(VLOOKUP($CU$5,'Move History'!$A$2:$NB$516,(15*($CQ22-1))+DE$11+1,0),Tables!$AX$2:$BD$53,7,0),0)</f>
        <v>0</v>
      </c>
      <c r="DF22" s="196">
        <f>IFERROR(VLOOKUP(VLOOKUP($CU$5,'Move History'!$A$2:$NB$516,(15*($CQ22-1))+DF$11+1,0),Tables!$AX$2:$BD$53,7,0),0)</f>
        <v>0</v>
      </c>
      <c r="DG22" s="18"/>
      <c r="DH22" s="190">
        <v>2</v>
      </c>
      <c r="DI22" s="168">
        <f>IFERROR(VLOOKUP(VLOOKUP($CU$5,'Move History'!$A$2:$NB$516,(13*($DH22-1))+DI$20+262,0),Tables!$AX$2:$BD$53,7,0),0)</f>
        <v>0</v>
      </c>
      <c r="DJ22" s="18">
        <f>IFERROR(VLOOKUP(VLOOKUP($CU$5,'Move History'!$A$2:$NB$516,(13*($DH22-1))+DJ$20+262,0),Tables!$AX$2:$BD$53,7,0),0)</f>
        <v>0</v>
      </c>
      <c r="DK22" s="18">
        <f>IFERROR(VLOOKUP(VLOOKUP($CU$5,'Move History'!$A$2:$NB$516,(13*($DH22-1))+DK$20+262,0),Tables!$AX$2:$BD$53,7,0),0)</f>
        <v>0</v>
      </c>
      <c r="DL22" s="18">
        <f>IFERROR(VLOOKUP(VLOOKUP($CU$5,'Move History'!$A$2:$NB$516,(13*($DH22-1))+DL$20+262,0),Tables!$AX$2:$BD$53,7,0),0)</f>
        <v>0</v>
      </c>
      <c r="DM22" s="18">
        <f>IFERROR(VLOOKUP(VLOOKUP($CU$5,'Move History'!$A$2:$NB$516,(13*($DH22-1))+DM$20+262,0),Tables!$AX$2:$BD$53,7,0),0)</f>
        <v>0</v>
      </c>
      <c r="DN22" s="18">
        <f>IFERROR(VLOOKUP(VLOOKUP($CU$5,'Move History'!$A$2:$NB$516,(13*($DH22-1))+DN$20+262,0),Tables!$AX$2:$BD$53,7,0),0)</f>
        <v>0</v>
      </c>
      <c r="DO22" s="18">
        <f>IFERROR(VLOOKUP(VLOOKUP($CU$5,'Move History'!$A$2:$NB$516,(13*($DH22-1))+DO$20+262,0),Tables!$AX$2:$BD$53,7,0),0)</f>
        <v>0</v>
      </c>
      <c r="DP22" s="18">
        <f>IFERROR(VLOOKUP(VLOOKUP($CU$5,'Move History'!$A$2:$NB$516,(13*($DH22-1))+DP$20+262,0),Tables!$AX$2:$BD$53,7,0),0)</f>
        <v>0</v>
      </c>
      <c r="DQ22" s="18">
        <f>IFERROR(VLOOKUP(VLOOKUP($CU$5,'Move History'!$A$2:$NB$516,(13*($DH22-1))+DQ$20+262,0),Tables!$AX$2:$BD$53,7,0),0)</f>
        <v>0</v>
      </c>
      <c r="DR22" s="18">
        <f>IFERROR(VLOOKUP(VLOOKUP($CU$5,'Move History'!$A$2:$NB$516,(13*($DH22-1))+DR$20+262,0),Tables!$AX$2:$BD$53,7,0),0)</f>
        <v>0</v>
      </c>
      <c r="DS22" s="18">
        <f>IFERROR(VLOOKUP(VLOOKUP($CU$5,'Move History'!$A$2:$NB$516,(13*($DH22-1))+DS$20+262,0),Tables!$AX$2:$BD$53,7,0),0)</f>
        <v>0</v>
      </c>
      <c r="DT22" s="18">
        <f>IFERROR(VLOOKUP(VLOOKUP($CU$5,'Move History'!$A$2:$NB$516,(13*($DH22-1))+DT$20+262,0),Tables!$AX$2:$BD$53,7,0),0)</f>
        <v>0</v>
      </c>
      <c r="DU22" s="188">
        <f>IFERROR(VLOOKUP(VLOOKUP($CU$5,'Move History'!$A$2:$NB$516,(13*($DH22-1))+DU$20+262,0),Tables!$AX$2:$BD$53,7,0),0)</f>
        <v>0</v>
      </c>
      <c r="DV22" s="18"/>
      <c r="DW22" s="18"/>
      <c r="DX22" s="18"/>
      <c r="DY22" s="18"/>
      <c r="DZ22" s="18"/>
    </row>
    <row r="23" spans="1:130" ht="15" customHeight="1" x14ac:dyDescent="0.25">
      <c r="A23" s="18"/>
      <c r="B23" s="18"/>
      <c r="C23" s="18"/>
      <c r="D23" s="244"/>
      <c r="E23" s="245"/>
      <c r="F23" s="18"/>
      <c r="G23" s="18"/>
      <c r="H23" s="18"/>
      <c r="I23" s="220"/>
      <c r="J23" s="221"/>
      <c r="K23" s="18"/>
      <c r="L23" s="124"/>
      <c r="M23" s="124"/>
      <c r="N23" s="220"/>
      <c r="O23" s="221"/>
      <c r="P23" s="18"/>
      <c r="Q23" s="18"/>
      <c r="R23" s="18"/>
      <c r="S23" s="18"/>
      <c r="T23" s="18"/>
      <c r="U23" s="18"/>
      <c r="V23" s="220" t="b">
        <f>Selections!U12</f>
        <v>0</v>
      </c>
      <c r="W23" s="221"/>
      <c r="X23" s="224" t="str">
        <f>'Display Map'!G12</f>
        <v/>
      </c>
      <c r="Y23" s="225"/>
      <c r="Z23" s="225"/>
      <c r="AA23" s="226"/>
      <c r="AB23" s="18"/>
      <c r="AC23" s="18"/>
      <c r="AD23" s="224" t="str">
        <f>'Display Map'!K12</f>
        <v/>
      </c>
      <c r="AE23" s="225"/>
      <c r="AF23" s="225"/>
      <c r="AG23" s="226"/>
      <c r="AH23" s="18"/>
      <c r="AI23" s="224" t="str">
        <f>'Display Map'!L12</f>
        <v/>
      </c>
      <c r="AJ23" s="225"/>
      <c r="AK23" s="225"/>
      <c r="AL23" s="226"/>
      <c r="AM23" s="18"/>
      <c r="AN23" s="224" t="str">
        <f>'Display Map'!M12</f>
        <v/>
      </c>
      <c r="AO23" s="225"/>
      <c r="AP23" s="225"/>
      <c r="AQ23" s="226"/>
      <c r="AR23" s="18"/>
      <c r="AS23" s="224" t="str">
        <f>'Display Map'!N12</f>
        <v/>
      </c>
      <c r="AT23" s="225"/>
      <c r="AU23" s="225"/>
      <c r="AV23" s="226"/>
      <c r="AW23" s="18"/>
      <c r="AX23" s="224" t="str">
        <f>'Display Map'!O12</f>
        <v/>
      </c>
      <c r="AY23" s="225"/>
      <c r="AZ23" s="225"/>
      <c r="BA23" s="226"/>
      <c r="BB23" s="18"/>
      <c r="BC23" s="224" t="str">
        <f>'Display Map'!P12</f>
        <v/>
      </c>
      <c r="BD23" s="225"/>
      <c r="BE23" s="225"/>
      <c r="BF23" s="226"/>
      <c r="BG23" s="18"/>
      <c r="BH23" s="224" t="str">
        <f>'Display Map'!Q12</f>
        <v/>
      </c>
      <c r="BI23" s="225"/>
      <c r="BJ23" s="225"/>
      <c r="BK23" s="226"/>
      <c r="BL23" s="18"/>
      <c r="BM23" s="224" t="str">
        <f>'Display Map'!R12</f>
        <v/>
      </c>
      <c r="BN23" s="225"/>
      <c r="BO23" s="225"/>
      <c r="BP23" s="226"/>
      <c r="BQ23" s="18"/>
      <c r="BR23" s="224" t="str">
        <f>'Display Map'!S12</f>
        <v/>
      </c>
      <c r="BS23" s="225"/>
      <c r="BT23" s="225"/>
      <c r="BU23" s="226"/>
      <c r="BV23" s="18"/>
      <c r="BW23" s="224" t="str">
        <f>'Display Map'!T12</f>
        <v/>
      </c>
      <c r="BX23" s="225"/>
      <c r="BY23" s="225"/>
      <c r="BZ23" s="226"/>
      <c r="CA23" s="18"/>
      <c r="CB23" s="224" t="str">
        <f>'Display Map'!U12</f>
        <v/>
      </c>
      <c r="CC23" s="225"/>
      <c r="CD23" s="225"/>
      <c r="CE23" s="226"/>
      <c r="CF23" s="18"/>
      <c r="CG23" s="224" t="str">
        <f>'Display Map'!V12</f>
        <v/>
      </c>
      <c r="CH23" s="225"/>
      <c r="CI23" s="225"/>
      <c r="CJ23" s="226"/>
      <c r="CK23" s="18"/>
      <c r="CL23" s="224" t="str">
        <f>'Display Map'!W12</f>
        <v/>
      </c>
      <c r="CM23" s="225"/>
      <c r="CN23" s="225"/>
      <c r="CO23" s="226"/>
      <c r="CP23" s="186"/>
      <c r="CQ23" s="190">
        <v>12</v>
      </c>
      <c r="CR23" s="195" t="str">
        <f>IFERROR(VLOOKUP(VLOOKUP($CU$5,'Move History'!$A$2:$NB$516,(15*($CQ23-1))+CR$11+1,0),Tables!$AX$2:$BD$53,7,0),0)</f>
        <v>2♥</v>
      </c>
      <c r="CS23" s="187" t="str">
        <f>IFERROR(VLOOKUP(VLOOKUP($CU$5,'Move History'!$A$2:$NB$516,(15*($CQ23-1))+CS$11+1,0),Tables!$AX$2:$BD$53,7,0),0)</f>
        <v>X♦</v>
      </c>
      <c r="CT23" s="187" t="str">
        <f>IFERROR(VLOOKUP(VLOOKUP($CU$5,'Move History'!$A$2:$NB$516,(15*($CQ23-1))+CT$11+1,0),Tables!$AX$2:$BD$53,7,0),0)</f>
        <v>J♥</v>
      </c>
      <c r="CU23" s="187" t="str">
        <f>IFERROR(VLOOKUP(VLOOKUP($CU$5,'Move History'!$A$2:$NB$516,(15*($CQ23-1))+CU$11+1,0),Tables!$AX$2:$BD$53,7,0),0)</f>
        <v>9♥</v>
      </c>
      <c r="CV23" s="187" t="str">
        <f>IFERROR(VLOOKUP(VLOOKUP($CU$5,'Move History'!$A$2:$NB$516,(15*($CQ23-1))+CV$11+1,0),Tables!$AX$2:$BD$53,7,0),0)</f>
        <v>8♠</v>
      </c>
      <c r="CW23" s="187" t="str">
        <f>IFERROR(VLOOKUP(VLOOKUP($CU$5,'Move History'!$A$2:$NB$516,(15*($CQ23-1))+CW$11+1,0),Tables!$AX$2:$BD$53,7,0),0)</f>
        <v>4♠</v>
      </c>
      <c r="CX23" s="187">
        <f>IFERROR(VLOOKUP(VLOOKUP($CU$5,'Move History'!$A$2:$NB$516,(15*($CQ23-1))+CX$11+1,0),Tables!$AX$2:$BD$53,7,0),0)</f>
        <v>0</v>
      </c>
      <c r="CY23" s="187">
        <f>IFERROR(VLOOKUP(VLOOKUP($CU$5,'Move History'!$A$2:$NB$516,(15*($CQ23-1))+CY$11+1,0),Tables!$AX$2:$BD$53,7,0),0)</f>
        <v>0</v>
      </c>
      <c r="CZ23" s="187">
        <f>IFERROR(VLOOKUP(VLOOKUP($CU$5,'Move History'!$A$2:$NB$516,(15*($CQ23-1))+CZ$11+1,0),Tables!$AX$2:$BD$53,7,0),0)</f>
        <v>0</v>
      </c>
      <c r="DA23" s="187">
        <f>IFERROR(VLOOKUP(VLOOKUP($CU$5,'Move History'!$A$2:$NB$516,(15*($CQ23-1))+DA$11+1,0),Tables!$AX$2:$BD$53,7,0),0)</f>
        <v>0</v>
      </c>
      <c r="DB23" s="187">
        <f>IFERROR(VLOOKUP(VLOOKUP($CU$5,'Move History'!$A$2:$NB$516,(15*($CQ23-1))+DB$11+1,0),Tables!$AX$2:$BD$53,7,0),0)</f>
        <v>0</v>
      </c>
      <c r="DC23" s="187">
        <f>IFERROR(VLOOKUP(VLOOKUP($CU$5,'Move History'!$A$2:$NB$516,(15*($CQ23-1))+DC$11+1,0),Tables!$AX$2:$BD$53,7,0),0)</f>
        <v>0</v>
      </c>
      <c r="DD23" s="187">
        <f>IFERROR(VLOOKUP(VLOOKUP($CU$5,'Move History'!$A$2:$NB$516,(15*($CQ23-1))+DD$11+1,0),Tables!$AX$2:$BD$53,7,0),0)</f>
        <v>0</v>
      </c>
      <c r="DE23" s="187">
        <f>IFERROR(VLOOKUP(VLOOKUP($CU$5,'Move History'!$A$2:$NB$516,(15*($CQ23-1))+DE$11+1,0),Tables!$AX$2:$BD$53,7,0),0)</f>
        <v>0</v>
      </c>
      <c r="DF23" s="196">
        <f>IFERROR(VLOOKUP(VLOOKUP($CU$5,'Move History'!$A$2:$NB$516,(15*($CQ23-1))+DF$11+1,0),Tables!$AX$2:$BD$53,7,0),0)</f>
        <v>0</v>
      </c>
      <c r="DG23" s="18"/>
      <c r="DH23" s="190">
        <v>3</v>
      </c>
      <c r="DI23" s="168">
        <f>IFERROR(VLOOKUP(VLOOKUP($CU$5,'Move History'!$A$2:$NB$516,(13*($DH23-1))+DI$20+262,0),Tables!$AX$2:$BD$53,7,0),0)</f>
        <v>0</v>
      </c>
      <c r="DJ23" s="18">
        <f>IFERROR(VLOOKUP(VLOOKUP($CU$5,'Move History'!$A$2:$NB$516,(13*($DH23-1))+DJ$20+262,0),Tables!$AX$2:$BD$53,7,0),0)</f>
        <v>0</v>
      </c>
      <c r="DK23" s="18">
        <f>IFERROR(VLOOKUP(VLOOKUP($CU$5,'Move History'!$A$2:$NB$516,(13*($DH23-1))+DK$20+262,0),Tables!$AX$2:$BD$53,7,0),0)</f>
        <v>0</v>
      </c>
      <c r="DL23" s="18">
        <f>IFERROR(VLOOKUP(VLOOKUP($CU$5,'Move History'!$A$2:$NB$516,(13*($DH23-1))+DL$20+262,0),Tables!$AX$2:$BD$53,7,0),0)</f>
        <v>0</v>
      </c>
      <c r="DM23" s="18">
        <f>IFERROR(VLOOKUP(VLOOKUP($CU$5,'Move History'!$A$2:$NB$516,(13*($DH23-1))+DM$20+262,0),Tables!$AX$2:$BD$53,7,0),0)</f>
        <v>0</v>
      </c>
      <c r="DN23" s="18">
        <f>IFERROR(VLOOKUP(VLOOKUP($CU$5,'Move History'!$A$2:$NB$516,(13*($DH23-1))+DN$20+262,0),Tables!$AX$2:$BD$53,7,0),0)</f>
        <v>0</v>
      </c>
      <c r="DO23" s="18">
        <f>IFERROR(VLOOKUP(VLOOKUP($CU$5,'Move History'!$A$2:$NB$516,(13*($DH23-1))+DO$20+262,0),Tables!$AX$2:$BD$53,7,0),0)</f>
        <v>0</v>
      </c>
      <c r="DP23" s="18">
        <f>IFERROR(VLOOKUP(VLOOKUP($CU$5,'Move History'!$A$2:$NB$516,(13*($DH23-1))+DP$20+262,0),Tables!$AX$2:$BD$53,7,0),0)</f>
        <v>0</v>
      </c>
      <c r="DQ23" s="18">
        <f>IFERROR(VLOOKUP(VLOOKUP($CU$5,'Move History'!$A$2:$NB$516,(13*($DH23-1))+DQ$20+262,0),Tables!$AX$2:$BD$53,7,0),0)</f>
        <v>0</v>
      </c>
      <c r="DR23" s="18">
        <f>IFERROR(VLOOKUP(VLOOKUP($CU$5,'Move History'!$A$2:$NB$516,(13*($DH23-1))+DR$20+262,0),Tables!$AX$2:$BD$53,7,0),0)</f>
        <v>0</v>
      </c>
      <c r="DS23" s="18">
        <f>IFERROR(VLOOKUP(VLOOKUP($CU$5,'Move History'!$A$2:$NB$516,(13*($DH23-1))+DS$20+262,0),Tables!$AX$2:$BD$53,7,0),0)</f>
        <v>0</v>
      </c>
      <c r="DT23" s="18">
        <f>IFERROR(VLOOKUP(VLOOKUP($CU$5,'Move History'!$A$2:$NB$516,(13*($DH23-1))+DT$20+262,0),Tables!$AX$2:$BD$53,7,0),0)</f>
        <v>0</v>
      </c>
      <c r="DU23" s="188">
        <f>IFERROR(VLOOKUP(VLOOKUP($CU$5,'Move History'!$A$2:$NB$516,(13*($DH23-1))+DU$20+262,0),Tables!$AX$2:$BD$53,7,0),0)</f>
        <v>0</v>
      </c>
      <c r="DV23" s="18"/>
      <c r="DW23" s="18"/>
      <c r="DX23" s="18"/>
      <c r="DY23" s="18"/>
      <c r="DZ23" s="18"/>
    </row>
    <row r="24" spans="1:130" ht="15" customHeight="1" thickBot="1" x14ac:dyDescent="0.3">
      <c r="A24" s="18"/>
      <c r="B24" s="18"/>
      <c r="C24" s="18"/>
      <c r="D24" s="246"/>
      <c r="E24" s="247"/>
      <c r="F24" s="18"/>
      <c r="G24" s="18"/>
      <c r="H24" s="18"/>
      <c r="I24" s="222"/>
      <c r="J24" s="223"/>
      <c r="K24" s="18"/>
      <c r="L24" s="124"/>
      <c r="M24" s="124"/>
      <c r="N24" s="222"/>
      <c r="O24" s="223"/>
      <c r="P24" s="18"/>
      <c r="Q24" s="18"/>
      <c r="R24" s="18"/>
      <c r="S24" s="18"/>
      <c r="T24" s="18"/>
      <c r="U24" s="18"/>
      <c r="V24" s="222"/>
      <c r="W24" s="223"/>
      <c r="X24" s="227"/>
      <c r="Y24" s="228"/>
      <c r="Z24" s="228"/>
      <c r="AA24" s="229"/>
      <c r="AB24" s="18"/>
      <c r="AC24" s="18"/>
      <c r="AD24" s="227"/>
      <c r="AE24" s="228"/>
      <c r="AF24" s="228"/>
      <c r="AG24" s="229"/>
      <c r="AH24" s="18"/>
      <c r="AI24" s="227"/>
      <c r="AJ24" s="228"/>
      <c r="AK24" s="228"/>
      <c r="AL24" s="229"/>
      <c r="AM24" s="18"/>
      <c r="AN24" s="227"/>
      <c r="AO24" s="228"/>
      <c r="AP24" s="228"/>
      <c r="AQ24" s="229"/>
      <c r="AR24" s="18"/>
      <c r="AS24" s="227"/>
      <c r="AT24" s="228"/>
      <c r="AU24" s="228"/>
      <c r="AV24" s="229"/>
      <c r="AW24" s="18"/>
      <c r="AX24" s="227"/>
      <c r="AY24" s="228"/>
      <c r="AZ24" s="228"/>
      <c r="BA24" s="229"/>
      <c r="BB24" s="18"/>
      <c r="BC24" s="227"/>
      <c r="BD24" s="228"/>
      <c r="BE24" s="228"/>
      <c r="BF24" s="229"/>
      <c r="BG24" s="18"/>
      <c r="BH24" s="227"/>
      <c r="BI24" s="228"/>
      <c r="BJ24" s="228"/>
      <c r="BK24" s="229"/>
      <c r="BL24" s="18"/>
      <c r="BM24" s="227"/>
      <c r="BN24" s="228"/>
      <c r="BO24" s="228"/>
      <c r="BP24" s="229"/>
      <c r="BQ24" s="18"/>
      <c r="BR24" s="227"/>
      <c r="BS24" s="228"/>
      <c r="BT24" s="228"/>
      <c r="BU24" s="229"/>
      <c r="BV24" s="18"/>
      <c r="BW24" s="227"/>
      <c r="BX24" s="228"/>
      <c r="BY24" s="228"/>
      <c r="BZ24" s="229"/>
      <c r="CA24" s="18"/>
      <c r="CB24" s="227"/>
      <c r="CC24" s="228"/>
      <c r="CD24" s="228"/>
      <c r="CE24" s="229"/>
      <c r="CF24" s="18"/>
      <c r="CG24" s="227"/>
      <c r="CH24" s="228"/>
      <c r="CI24" s="228"/>
      <c r="CJ24" s="229"/>
      <c r="CK24" s="18"/>
      <c r="CL24" s="227"/>
      <c r="CM24" s="228"/>
      <c r="CN24" s="228"/>
      <c r="CO24" s="229"/>
      <c r="CP24" s="18"/>
      <c r="CQ24" s="191">
        <v>13</v>
      </c>
      <c r="CR24" s="197" t="str">
        <f>IFERROR(VLOOKUP(VLOOKUP($CU$5,'Move History'!$A$2:$NB$516,(15*($CQ24-1))+CR$11+1,0),Tables!$AX$2:$BD$53,7,0),0)</f>
        <v>K♥</v>
      </c>
      <c r="CS24" s="198" t="str">
        <f>IFERROR(VLOOKUP(VLOOKUP($CU$5,'Move History'!$A$2:$NB$516,(15*($CQ24-1))+CS$11+1,0),Tables!$AX$2:$BD$53,7,0),0)</f>
        <v>2♣</v>
      </c>
      <c r="CT24" s="198" t="str">
        <f>IFERROR(VLOOKUP(VLOOKUP($CU$5,'Move History'!$A$2:$NB$516,(15*($CQ24-1))+CT$11+1,0),Tables!$AX$2:$BD$53,7,0),0)</f>
        <v>Q♠</v>
      </c>
      <c r="CU24" s="198" t="str">
        <f>IFERROR(VLOOKUP(VLOOKUP($CU$5,'Move History'!$A$2:$NB$516,(15*($CQ24-1))+CU$11+1,0),Tables!$AX$2:$BD$53,7,0),0)</f>
        <v>5♣</v>
      </c>
      <c r="CV24" s="198" t="str">
        <f>IFERROR(VLOOKUP(VLOOKUP($CU$5,'Move History'!$A$2:$NB$516,(15*($CQ24-1))+CV$11+1,0),Tables!$AX$2:$BD$53,7,0),0)</f>
        <v>6♥</v>
      </c>
      <c r="CW24" s="198" t="str">
        <f>IFERROR(VLOOKUP(VLOOKUP($CU$5,'Move History'!$A$2:$NB$516,(15*($CQ24-1))+CW$11+1,0),Tables!$AX$2:$BD$53,7,0),0)</f>
        <v>5♦</v>
      </c>
      <c r="CX24" s="198">
        <f>IFERROR(VLOOKUP(VLOOKUP($CU$5,'Move History'!$A$2:$NB$516,(15*($CQ24-1))+CX$11+1,0),Tables!$AX$2:$BD$53,7,0),0)</f>
        <v>0</v>
      </c>
      <c r="CY24" s="198">
        <f>IFERROR(VLOOKUP(VLOOKUP($CU$5,'Move History'!$A$2:$NB$516,(15*($CQ24-1))+CY$11+1,0),Tables!$AX$2:$BD$53,7,0),0)</f>
        <v>0</v>
      </c>
      <c r="CZ24" s="198">
        <f>IFERROR(VLOOKUP(VLOOKUP($CU$5,'Move History'!$A$2:$NB$516,(15*($CQ24-1))+CZ$11+1,0),Tables!$AX$2:$BD$53,7,0),0)</f>
        <v>0</v>
      </c>
      <c r="DA24" s="198">
        <f>IFERROR(VLOOKUP(VLOOKUP($CU$5,'Move History'!$A$2:$NB$516,(15*($CQ24-1))+DA$11+1,0),Tables!$AX$2:$BD$53,7,0),0)</f>
        <v>0</v>
      </c>
      <c r="DB24" s="198">
        <f>IFERROR(VLOOKUP(VLOOKUP($CU$5,'Move History'!$A$2:$NB$516,(15*($CQ24-1))+DB$11+1,0),Tables!$AX$2:$BD$53,7,0),0)</f>
        <v>0</v>
      </c>
      <c r="DC24" s="198">
        <f>IFERROR(VLOOKUP(VLOOKUP($CU$5,'Move History'!$A$2:$NB$516,(15*($CQ24-1))+DC$11+1,0),Tables!$AX$2:$BD$53,7,0),0)</f>
        <v>0</v>
      </c>
      <c r="DD24" s="198">
        <f>IFERROR(VLOOKUP(VLOOKUP($CU$5,'Move History'!$A$2:$NB$516,(15*($CQ24-1))+DD$11+1,0),Tables!$AX$2:$BD$53,7,0),0)</f>
        <v>0</v>
      </c>
      <c r="DE24" s="198">
        <f>IFERROR(VLOOKUP(VLOOKUP($CU$5,'Move History'!$A$2:$NB$516,(15*($CQ24-1))+DE$11+1,0),Tables!$AX$2:$BD$53,7,0),0)</f>
        <v>0</v>
      </c>
      <c r="DF24" s="199">
        <f>IFERROR(VLOOKUP(VLOOKUP($CU$5,'Move History'!$A$2:$NB$516,(15*($CQ24-1))+DF$11+1,0),Tables!$AX$2:$BD$53,7,0),0)</f>
        <v>0</v>
      </c>
      <c r="DG24" s="168"/>
      <c r="DH24" s="190">
        <v>4</v>
      </c>
      <c r="DI24" s="168">
        <f>IFERROR(VLOOKUP(VLOOKUP($CU$5,'Move History'!$A$2:$NB$516,(13*($DH24-1))+DI$20+262,0),Tables!$AX$2:$BD$53,7,0),0)</f>
        <v>0</v>
      </c>
      <c r="DJ24" s="18">
        <f>IFERROR(VLOOKUP(VLOOKUP($CU$5,'Move History'!$A$2:$NB$516,(13*($DH24-1))+DJ$20+262,0),Tables!$AX$2:$BD$53,7,0),0)</f>
        <v>0</v>
      </c>
      <c r="DK24" s="18">
        <f>IFERROR(VLOOKUP(VLOOKUP($CU$5,'Move History'!$A$2:$NB$516,(13*($DH24-1))+DK$20+262,0),Tables!$AX$2:$BD$53,7,0),0)</f>
        <v>0</v>
      </c>
      <c r="DL24" s="18">
        <f>IFERROR(VLOOKUP(VLOOKUP($CU$5,'Move History'!$A$2:$NB$516,(13*($DH24-1))+DL$20+262,0),Tables!$AX$2:$BD$53,7,0),0)</f>
        <v>0</v>
      </c>
      <c r="DM24" s="18">
        <f>IFERROR(VLOOKUP(VLOOKUP($CU$5,'Move History'!$A$2:$NB$516,(13*($DH24-1))+DM$20+262,0),Tables!$AX$2:$BD$53,7,0),0)</f>
        <v>0</v>
      </c>
      <c r="DN24" s="18">
        <f>IFERROR(VLOOKUP(VLOOKUP($CU$5,'Move History'!$A$2:$NB$516,(13*($DH24-1))+DN$20+262,0),Tables!$AX$2:$BD$53,7,0),0)</f>
        <v>0</v>
      </c>
      <c r="DO24" s="18">
        <f>IFERROR(VLOOKUP(VLOOKUP($CU$5,'Move History'!$A$2:$NB$516,(13*($DH24-1))+DO$20+262,0),Tables!$AX$2:$BD$53,7,0),0)</f>
        <v>0</v>
      </c>
      <c r="DP24" s="18">
        <f>IFERROR(VLOOKUP(VLOOKUP($CU$5,'Move History'!$A$2:$NB$516,(13*($DH24-1))+DP$20+262,0),Tables!$AX$2:$BD$53,7,0),0)</f>
        <v>0</v>
      </c>
      <c r="DQ24" s="18">
        <f>IFERROR(VLOOKUP(VLOOKUP($CU$5,'Move History'!$A$2:$NB$516,(13*($DH24-1))+DQ$20+262,0),Tables!$AX$2:$BD$53,7,0),0)</f>
        <v>0</v>
      </c>
      <c r="DR24" s="18">
        <f>IFERROR(VLOOKUP(VLOOKUP($CU$5,'Move History'!$A$2:$NB$516,(13*($DH24-1))+DR$20+262,0),Tables!$AX$2:$BD$53,7,0),0)</f>
        <v>0</v>
      </c>
      <c r="DS24" s="18">
        <f>IFERROR(VLOOKUP(VLOOKUP($CU$5,'Move History'!$A$2:$NB$516,(13*($DH24-1))+DS$20+262,0),Tables!$AX$2:$BD$53,7,0),0)</f>
        <v>0</v>
      </c>
      <c r="DT24" s="18">
        <f>IFERROR(VLOOKUP(VLOOKUP($CU$5,'Move History'!$A$2:$NB$516,(13*($DH24-1))+DT$20+262,0),Tables!$AX$2:$BD$53,7,0),0)</f>
        <v>0</v>
      </c>
      <c r="DU24" s="188">
        <f>IFERROR(VLOOKUP(VLOOKUP($CU$5,'Move History'!$A$2:$NB$516,(13*($DH24-1))+DU$20+262,0),Tables!$AX$2:$BD$53,7,0),0)</f>
        <v>0</v>
      </c>
      <c r="DV24" s="18"/>
      <c r="DW24" s="18"/>
      <c r="DX24" s="18"/>
      <c r="DY24" s="18"/>
      <c r="DZ24" s="18"/>
    </row>
    <row r="25" spans="1:130" ht="15" customHeight="1" thickBot="1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220" t="b">
        <f>Selections!U13</f>
        <v>0</v>
      </c>
      <c r="W25" s="221"/>
      <c r="X25" s="224" t="str">
        <f>'Display Map'!G13</f>
        <v/>
      </c>
      <c r="Y25" s="225"/>
      <c r="Z25" s="225"/>
      <c r="AA25" s="226"/>
      <c r="AB25" s="18"/>
      <c r="AC25" s="18"/>
      <c r="AD25" s="224" t="str">
        <f>'Display Map'!K13</f>
        <v/>
      </c>
      <c r="AE25" s="225"/>
      <c r="AF25" s="225"/>
      <c r="AG25" s="226"/>
      <c r="AH25" s="18"/>
      <c r="AI25" s="224" t="str">
        <f>'Display Map'!L13</f>
        <v/>
      </c>
      <c r="AJ25" s="225"/>
      <c r="AK25" s="225"/>
      <c r="AL25" s="226"/>
      <c r="AM25" s="18"/>
      <c r="AN25" s="224" t="str">
        <f>'Display Map'!M13</f>
        <v/>
      </c>
      <c r="AO25" s="225"/>
      <c r="AP25" s="225"/>
      <c r="AQ25" s="226"/>
      <c r="AR25" s="18"/>
      <c r="AS25" s="224" t="str">
        <f>'Display Map'!N13</f>
        <v/>
      </c>
      <c r="AT25" s="225"/>
      <c r="AU25" s="225"/>
      <c r="AV25" s="226"/>
      <c r="AW25" s="18"/>
      <c r="AX25" s="224" t="str">
        <f>'Display Map'!O13</f>
        <v/>
      </c>
      <c r="AY25" s="225"/>
      <c r="AZ25" s="225"/>
      <c r="BA25" s="226"/>
      <c r="BB25" s="18"/>
      <c r="BC25" s="224" t="str">
        <f>'Display Map'!P13</f>
        <v/>
      </c>
      <c r="BD25" s="225"/>
      <c r="BE25" s="225"/>
      <c r="BF25" s="226"/>
      <c r="BG25" s="18"/>
      <c r="BH25" s="224" t="str">
        <f>'Display Map'!Q13</f>
        <v/>
      </c>
      <c r="BI25" s="225"/>
      <c r="BJ25" s="225"/>
      <c r="BK25" s="226"/>
      <c r="BL25" s="18"/>
      <c r="BM25" s="224" t="str">
        <f>'Display Map'!R13</f>
        <v/>
      </c>
      <c r="BN25" s="225"/>
      <c r="BO25" s="225"/>
      <c r="BP25" s="226"/>
      <c r="BQ25" s="18"/>
      <c r="BR25" s="224" t="str">
        <f>'Display Map'!S13</f>
        <v/>
      </c>
      <c r="BS25" s="225"/>
      <c r="BT25" s="225"/>
      <c r="BU25" s="226"/>
      <c r="BV25" s="18"/>
      <c r="BW25" s="224" t="str">
        <f>'Display Map'!T13</f>
        <v/>
      </c>
      <c r="BX25" s="225"/>
      <c r="BY25" s="225"/>
      <c r="BZ25" s="226"/>
      <c r="CA25" s="18"/>
      <c r="CB25" s="224" t="str">
        <f>'Display Map'!U13</f>
        <v/>
      </c>
      <c r="CC25" s="225"/>
      <c r="CD25" s="225"/>
      <c r="CE25" s="226"/>
      <c r="CF25" s="18"/>
      <c r="CG25" s="224" t="str">
        <f>'Display Map'!V13</f>
        <v/>
      </c>
      <c r="CH25" s="225"/>
      <c r="CI25" s="225"/>
      <c r="CJ25" s="226"/>
      <c r="CK25" s="18"/>
      <c r="CL25" s="224" t="str">
        <f>'Display Map'!W13</f>
        <v/>
      </c>
      <c r="CM25" s="225"/>
      <c r="CN25" s="225"/>
      <c r="CO25" s="226"/>
      <c r="CP25" s="18"/>
      <c r="CQ25" s="180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90">
        <v>5</v>
      </c>
      <c r="DI25" s="168">
        <f>IFERROR(VLOOKUP(VLOOKUP($CU$5,'Move History'!$A$2:$NB$516,(13*($DH25-1))+DI$20+262,0),Tables!$AX$2:$BD$53,7,0),0)</f>
        <v>0</v>
      </c>
      <c r="DJ25" s="18">
        <f>IFERROR(VLOOKUP(VLOOKUP($CU$5,'Move History'!$A$2:$NB$516,(13*($DH25-1))+DJ$20+262,0),Tables!$AX$2:$BD$53,7,0),0)</f>
        <v>0</v>
      </c>
      <c r="DK25" s="18">
        <f>IFERROR(VLOOKUP(VLOOKUP($CU$5,'Move History'!$A$2:$NB$516,(13*($DH25-1))+DK$20+262,0),Tables!$AX$2:$BD$53,7,0),0)</f>
        <v>0</v>
      </c>
      <c r="DL25" s="18">
        <f>IFERROR(VLOOKUP(VLOOKUP($CU$5,'Move History'!$A$2:$NB$516,(13*($DH25-1))+DL$20+262,0),Tables!$AX$2:$BD$53,7,0),0)</f>
        <v>0</v>
      </c>
      <c r="DM25" s="18">
        <f>IFERROR(VLOOKUP(VLOOKUP($CU$5,'Move History'!$A$2:$NB$516,(13*($DH25-1))+DM$20+262,0),Tables!$AX$2:$BD$53,7,0),0)</f>
        <v>0</v>
      </c>
      <c r="DN25" s="18">
        <f>IFERROR(VLOOKUP(VLOOKUP($CU$5,'Move History'!$A$2:$NB$516,(13*($DH25-1))+DN$20+262,0),Tables!$AX$2:$BD$53,7,0),0)</f>
        <v>0</v>
      </c>
      <c r="DO25" s="18">
        <f>IFERROR(VLOOKUP(VLOOKUP($CU$5,'Move History'!$A$2:$NB$516,(13*($DH25-1))+DO$20+262,0),Tables!$AX$2:$BD$53,7,0),0)</f>
        <v>0</v>
      </c>
      <c r="DP25" s="18">
        <f>IFERROR(VLOOKUP(VLOOKUP($CU$5,'Move History'!$A$2:$NB$516,(13*($DH25-1))+DP$20+262,0),Tables!$AX$2:$BD$53,7,0),0)</f>
        <v>0</v>
      </c>
      <c r="DQ25" s="18">
        <f>IFERROR(VLOOKUP(VLOOKUP($CU$5,'Move History'!$A$2:$NB$516,(13*($DH25-1))+DQ$20+262,0),Tables!$AX$2:$BD$53,7,0),0)</f>
        <v>0</v>
      </c>
      <c r="DR25" s="18">
        <f>IFERROR(VLOOKUP(VLOOKUP($CU$5,'Move History'!$A$2:$NB$516,(13*($DH25-1))+DR$20+262,0),Tables!$AX$2:$BD$53,7,0),0)</f>
        <v>0</v>
      </c>
      <c r="DS25" s="18">
        <f>IFERROR(VLOOKUP(VLOOKUP($CU$5,'Move History'!$A$2:$NB$516,(13*($DH25-1))+DS$20+262,0),Tables!$AX$2:$BD$53,7,0),0)</f>
        <v>0</v>
      </c>
      <c r="DT25" s="18">
        <f>IFERROR(VLOOKUP(VLOOKUP($CU$5,'Move History'!$A$2:$NB$516,(13*($DH25-1))+DT$20+262,0),Tables!$AX$2:$BD$53,7,0),0)</f>
        <v>0</v>
      </c>
      <c r="DU25" s="188">
        <f>IFERROR(VLOOKUP(VLOOKUP($CU$5,'Move History'!$A$2:$NB$516,(13*($DH25-1))+DU$20+262,0),Tables!$AX$2:$BD$53,7,0),0)</f>
        <v>0</v>
      </c>
      <c r="DV25" s="18"/>
      <c r="DW25" s="18"/>
      <c r="DX25" s="18"/>
      <c r="DY25" s="18"/>
      <c r="DZ25" s="18"/>
    </row>
    <row r="26" spans="1:130" ht="15" customHeight="1" thickBot="1" x14ac:dyDescent="0.3">
      <c r="A26" s="18"/>
      <c r="B26" s="18"/>
      <c r="C26" s="18"/>
      <c r="D26" s="230" t="s">
        <v>8</v>
      </c>
      <c r="E26" s="231"/>
      <c r="F26" s="18"/>
      <c r="G26" s="236" t="str">
        <f>'Display Map'!C6</f>
        <v>Ace</v>
      </c>
      <c r="H26" s="237"/>
      <c r="I26" s="237"/>
      <c r="J26" s="238"/>
      <c r="K26" s="18"/>
      <c r="L26" s="236" t="str">
        <f>'Display Map'!D6</f>
        <v>King</v>
      </c>
      <c r="M26" s="237"/>
      <c r="N26" s="237"/>
      <c r="O26" s="238"/>
      <c r="P26" s="18"/>
      <c r="Q26" s="18"/>
      <c r="R26" s="18"/>
      <c r="S26" s="18"/>
      <c r="T26" s="18"/>
      <c r="U26" s="18"/>
      <c r="V26" s="222"/>
      <c r="W26" s="223"/>
      <c r="X26" s="227"/>
      <c r="Y26" s="228"/>
      <c r="Z26" s="228"/>
      <c r="AA26" s="229"/>
      <c r="AB26" s="18"/>
      <c r="AC26" s="18"/>
      <c r="AD26" s="227"/>
      <c r="AE26" s="228"/>
      <c r="AF26" s="228"/>
      <c r="AG26" s="229"/>
      <c r="AH26" s="18"/>
      <c r="AI26" s="227"/>
      <c r="AJ26" s="228"/>
      <c r="AK26" s="228"/>
      <c r="AL26" s="229"/>
      <c r="AM26" s="18"/>
      <c r="AN26" s="227"/>
      <c r="AO26" s="228"/>
      <c r="AP26" s="228"/>
      <c r="AQ26" s="229"/>
      <c r="AR26" s="18"/>
      <c r="AS26" s="227"/>
      <c r="AT26" s="228"/>
      <c r="AU26" s="228"/>
      <c r="AV26" s="229"/>
      <c r="AW26" s="18"/>
      <c r="AX26" s="227"/>
      <c r="AY26" s="228"/>
      <c r="AZ26" s="228"/>
      <c r="BA26" s="229"/>
      <c r="BB26" s="18"/>
      <c r="BC26" s="227"/>
      <c r="BD26" s="228"/>
      <c r="BE26" s="228"/>
      <c r="BF26" s="229"/>
      <c r="BG26" s="18"/>
      <c r="BH26" s="227"/>
      <c r="BI26" s="228"/>
      <c r="BJ26" s="228"/>
      <c r="BK26" s="229"/>
      <c r="BL26" s="18"/>
      <c r="BM26" s="227"/>
      <c r="BN26" s="228"/>
      <c r="BO26" s="228"/>
      <c r="BP26" s="229"/>
      <c r="BQ26" s="18"/>
      <c r="BR26" s="227"/>
      <c r="BS26" s="228"/>
      <c r="BT26" s="228"/>
      <c r="BU26" s="229"/>
      <c r="BV26" s="18"/>
      <c r="BW26" s="227"/>
      <c r="BX26" s="228"/>
      <c r="BY26" s="228"/>
      <c r="BZ26" s="229"/>
      <c r="CA26" s="18"/>
      <c r="CB26" s="227"/>
      <c r="CC26" s="228"/>
      <c r="CD26" s="228"/>
      <c r="CE26" s="229"/>
      <c r="CF26" s="18"/>
      <c r="CG26" s="227"/>
      <c r="CH26" s="228"/>
      <c r="CI26" s="228"/>
      <c r="CJ26" s="229"/>
      <c r="CK26" s="18"/>
      <c r="CL26" s="227"/>
      <c r="CM26" s="228"/>
      <c r="CN26" s="228"/>
      <c r="CO26" s="229"/>
      <c r="CP26" s="18"/>
      <c r="CQ26" s="18" t="s">
        <v>536</v>
      </c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90">
        <v>6</v>
      </c>
      <c r="DI26" s="168">
        <f>IFERROR(VLOOKUP(VLOOKUP($CU$5,'Move History'!$A$2:$NB$516,(13*($DH26-1))+DI$20+262,0),Tables!$AX$2:$BD$53,7,0),0)</f>
        <v>0</v>
      </c>
      <c r="DJ26" s="18">
        <f>IFERROR(VLOOKUP(VLOOKUP($CU$5,'Move History'!$A$2:$NB$516,(13*($DH26-1))+DJ$20+262,0),Tables!$AX$2:$BD$53,7,0),0)</f>
        <v>0</v>
      </c>
      <c r="DK26" s="18">
        <f>IFERROR(VLOOKUP(VLOOKUP($CU$5,'Move History'!$A$2:$NB$516,(13*($DH26-1))+DK$20+262,0),Tables!$AX$2:$BD$53,7,0),0)</f>
        <v>0</v>
      </c>
      <c r="DL26" s="18">
        <f>IFERROR(VLOOKUP(VLOOKUP($CU$5,'Move History'!$A$2:$NB$516,(13*($DH26-1))+DL$20+262,0),Tables!$AX$2:$BD$53,7,0),0)</f>
        <v>0</v>
      </c>
      <c r="DM26" s="18">
        <f>IFERROR(VLOOKUP(VLOOKUP($CU$5,'Move History'!$A$2:$NB$516,(13*($DH26-1))+DM$20+262,0),Tables!$AX$2:$BD$53,7,0),0)</f>
        <v>0</v>
      </c>
      <c r="DN26" s="18">
        <f>IFERROR(VLOOKUP(VLOOKUP($CU$5,'Move History'!$A$2:$NB$516,(13*($DH26-1))+DN$20+262,0),Tables!$AX$2:$BD$53,7,0),0)</f>
        <v>0</v>
      </c>
      <c r="DO26" s="18">
        <f>IFERROR(VLOOKUP(VLOOKUP($CU$5,'Move History'!$A$2:$NB$516,(13*($DH26-1))+DO$20+262,0),Tables!$AX$2:$BD$53,7,0),0)</f>
        <v>0</v>
      </c>
      <c r="DP26" s="18">
        <f>IFERROR(VLOOKUP(VLOOKUP($CU$5,'Move History'!$A$2:$NB$516,(13*($DH26-1))+DP$20+262,0),Tables!$AX$2:$BD$53,7,0),0)</f>
        <v>0</v>
      </c>
      <c r="DQ26" s="18">
        <f>IFERROR(VLOOKUP(VLOOKUP($CU$5,'Move History'!$A$2:$NB$516,(13*($DH26-1))+DQ$20+262,0),Tables!$AX$2:$BD$53,7,0),0)</f>
        <v>0</v>
      </c>
      <c r="DR26" s="18">
        <f>IFERROR(VLOOKUP(VLOOKUP($CU$5,'Move History'!$A$2:$NB$516,(13*($DH26-1))+DR$20+262,0),Tables!$AX$2:$BD$53,7,0),0)</f>
        <v>0</v>
      </c>
      <c r="DS26" s="18">
        <f>IFERROR(VLOOKUP(VLOOKUP($CU$5,'Move History'!$A$2:$NB$516,(13*($DH26-1))+DS$20+262,0),Tables!$AX$2:$BD$53,7,0),0)</f>
        <v>0</v>
      </c>
      <c r="DT26" s="18">
        <f>IFERROR(VLOOKUP(VLOOKUP($CU$5,'Move History'!$A$2:$NB$516,(13*($DH26-1))+DT$20+262,0),Tables!$AX$2:$BD$53,7,0),0)</f>
        <v>0</v>
      </c>
      <c r="DU26" s="188">
        <f>IFERROR(VLOOKUP(VLOOKUP($CU$5,'Move History'!$A$2:$NB$516,(13*($DH26-1))+DU$20+262,0),Tables!$AX$2:$BD$53,7,0),0)</f>
        <v>0</v>
      </c>
      <c r="DV26" s="18"/>
      <c r="DW26" s="18"/>
      <c r="DX26" s="18"/>
      <c r="DY26" s="18"/>
      <c r="DZ26" s="18"/>
    </row>
    <row r="27" spans="1:130" ht="15" customHeight="1" thickBot="1" x14ac:dyDescent="0.3">
      <c r="A27" s="18"/>
      <c r="B27" s="18"/>
      <c r="C27" s="18"/>
      <c r="D27" s="232"/>
      <c r="E27" s="233"/>
      <c r="F27" s="18"/>
      <c r="G27" s="239"/>
      <c r="H27" s="240"/>
      <c r="I27" s="240"/>
      <c r="J27" s="241"/>
      <c r="K27" s="18"/>
      <c r="L27" s="239"/>
      <c r="M27" s="240"/>
      <c r="N27" s="240"/>
      <c r="O27" s="241"/>
      <c r="P27" s="18"/>
      <c r="Q27" s="18"/>
      <c r="R27" s="18"/>
      <c r="S27" s="18"/>
      <c r="T27" s="18"/>
      <c r="U27" s="18"/>
      <c r="V27" s="220" t="b">
        <f>Selections!U14</f>
        <v>0</v>
      </c>
      <c r="W27" s="221"/>
      <c r="X27" s="224" t="str">
        <f>'Display Map'!G14</f>
        <v/>
      </c>
      <c r="Y27" s="225"/>
      <c r="Z27" s="225"/>
      <c r="AA27" s="226"/>
      <c r="AB27" s="18"/>
      <c r="AC27" s="18"/>
      <c r="AD27" s="224" t="str">
        <f>'Display Map'!K14</f>
        <v/>
      </c>
      <c r="AE27" s="225"/>
      <c r="AF27" s="225"/>
      <c r="AG27" s="226"/>
      <c r="AH27" s="18"/>
      <c r="AI27" s="224" t="str">
        <f>'Display Map'!L14</f>
        <v/>
      </c>
      <c r="AJ27" s="225"/>
      <c r="AK27" s="225"/>
      <c r="AL27" s="226"/>
      <c r="AM27" s="18"/>
      <c r="AN27" s="224" t="str">
        <f>'Display Map'!M14</f>
        <v/>
      </c>
      <c r="AO27" s="225"/>
      <c r="AP27" s="225"/>
      <c r="AQ27" s="226"/>
      <c r="AR27" s="18"/>
      <c r="AS27" s="224" t="str">
        <f>'Display Map'!N14</f>
        <v/>
      </c>
      <c r="AT27" s="225"/>
      <c r="AU27" s="225"/>
      <c r="AV27" s="226"/>
      <c r="AW27" s="18"/>
      <c r="AX27" s="224" t="str">
        <f>'Display Map'!O14</f>
        <v/>
      </c>
      <c r="AY27" s="225"/>
      <c r="AZ27" s="225"/>
      <c r="BA27" s="226"/>
      <c r="BB27" s="18"/>
      <c r="BC27" s="224" t="str">
        <f>'Display Map'!P14</f>
        <v/>
      </c>
      <c r="BD27" s="225"/>
      <c r="BE27" s="225"/>
      <c r="BF27" s="226"/>
      <c r="BG27" s="18"/>
      <c r="BH27" s="224" t="str">
        <f>'Display Map'!Q14</f>
        <v/>
      </c>
      <c r="BI27" s="225"/>
      <c r="BJ27" s="225"/>
      <c r="BK27" s="226"/>
      <c r="BL27" s="18"/>
      <c r="BM27" s="224" t="str">
        <f>'Display Map'!R14</f>
        <v/>
      </c>
      <c r="BN27" s="225"/>
      <c r="BO27" s="225"/>
      <c r="BP27" s="226"/>
      <c r="BQ27" s="18"/>
      <c r="BR27" s="224" t="str">
        <f>'Display Map'!S14</f>
        <v/>
      </c>
      <c r="BS27" s="225"/>
      <c r="BT27" s="225"/>
      <c r="BU27" s="226"/>
      <c r="BV27" s="18"/>
      <c r="BW27" s="224" t="str">
        <f>'Display Map'!T14</f>
        <v/>
      </c>
      <c r="BX27" s="225"/>
      <c r="BY27" s="225"/>
      <c r="BZ27" s="226"/>
      <c r="CA27" s="18"/>
      <c r="CB27" s="224" t="str">
        <f>'Display Map'!U14</f>
        <v/>
      </c>
      <c r="CC27" s="225"/>
      <c r="CD27" s="225"/>
      <c r="CE27" s="226"/>
      <c r="CF27" s="18"/>
      <c r="CG27" s="224" t="str">
        <f>'Display Map'!V14</f>
        <v/>
      </c>
      <c r="CH27" s="225"/>
      <c r="CI27" s="225"/>
      <c r="CJ27" s="226"/>
      <c r="CK27" s="18"/>
      <c r="CL27" s="224" t="str">
        <f>'Display Map'!W14</f>
        <v/>
      </c>
      <c r="CM27" s="225"/>
      <c r="CN27" s="225"/>
      <c r="CO27" s="226"/>
      <c r="CP27" s="18"/>
      <c r="CQ27" s="179">
        <v>1</v>
      </c>
      <c r="CR27" s="180">
        <v>2</v>
      </c>
      <c r="CS27" s="180">
        <v>3</v>
      </c>
      <c r="CT27" s="180">
        <v>4</v>
      </c>
      <c r="CU27" s="180">
        <v>5</v>
      </c>
      <c r="CV27" s="180">
        <v>6</v>
      </c>
      <c r="CW27" s="180">
        <v>7</v>
      </c>
      <c r="CX27" s="180">
        <v>8</v>
      </c>
      <c r="CY27" s="180">
        <v>9</v>
      </c>
      <c r="CZ27" s="180">
        <v>10</v>
      </c>
      <c r="DA27" s="180">
        <v>11</v>
      </c>
      <c r="DB27" s="180">
        <v>12</v>
      </c>
      <c r="DC27" s="180">
        <v>13</v>
      </c>
      <c r="DD27" s="180">
        <v>14</v>
      </c>
      <c r="DE27" s="180">
        <v>15</v>
      </c>
      <c r="DF27" s="181">
        <v>16</v>
      </c>
      <c r="DG27" s="18"/>
      <c r="DH27" s="190">
        <v>7</v>
      </c>
      <c r="DI27" s="168">
        <f>IFERROR(VLOOKUP(VLOOKUP($CU$5,'Move History'!$A$2:$NB$516,(13*($DH27-1))+DI$20+262,0),Tables!$AX$2:$BD$53,7,0),0)</f>
        <v>0</v>
      </c>
      <c r="DJ27" s="18">
        <f>IFERROR(VLOOKUP(VLOOKUP($CU$5,'Move History'!$A$2:$NB$516,(13*($DH27-1))+DJ$20+262,0),Tables!$AX$2:$BD$53,7,0),0)</f>
        <v>0</v>
      </c>
      <c r="DK27" s="18">
        <f>IFERROR(VLOOKUP(VLOOKUP($CU$5,'Move History'!$A$2:$NB$516,(13*($DH27-1))+DK$20+262,0),Tables!$AX$2:$BD$53,7,0),0)</f>
        <v>0</v>
      </c>
      <c r="DL27" s="18">
        <f>IFERROR(VLOOKUP(VLOOKUP($CU$5,'Move History'!$A$2:$NB$516,(13*($DH27-1))+DL$20+262,0),Tables!$AX$2:$BD$53,7,0),0)</f>
        <v>0</v>
      </c>
      <c r="DM27" s="18">
        <f>IFERROR(VLOOKUP(VLOOKUP($CU$5,'Move History'!$A$2:$NB$516,(13*($DH27-1))+DM$20+262,0),Tables!$AX$2:$BD$53,7,0),0)</f>
        <v>0</v>
      </c>
      <c r="DN27" s="18">
        <f>IFERROR(VLOOKUP(VLOOKUP($CU$5,'Move History'!$A$2:$NB$516,(13*($DH27-1))+DN$20+262,0),Tables!$AX$2:$BD$53,7,0),0)</f>
        <v>0</v>
      </c>
      <c r="DO27" s="18">
        <f>IFERROR(VLOOKUP(VLOOKUP($CU$5,'Move History'!$A$2:$NB$516,(13*($DH27-1))+DO$20+262,0),Tables!$AX$2:$BD$53,7,0),0)</f>
        <v>0</v>
      </c>
      <c r="DP27" s="18">
        <f>IFERROR(VLOOKUP(VLOOKUP($CU$5,'Move History'!$A$2:$NB$516,(13*($DH27-1))+DP$20+262,0),Tables!$AX$2:$BD$53,7,0),0)</f>
        <v>0</v>
      </c>
      <c r="DQ27" s="18">
        <f>IFERROR(VLOOKUP(VLOOKUP($CU$5,'Move History'!$A$2:$NB$516,(13*($DH27-1))+DQ$20+262,0),Tables!$AX$2:$BD$53,7,0),0)</f>
        <v>0</v>
      </c>
      <c r="DR27" s="18">
        <f>IFERROR(VLOOKUP(VLOOKUP($CU$5,'Move History'!$A$2:$NB$516,(13*($DH27-1))+DR$20+262,0),Tables!$AX$2:$BD$53,7,0),0)</f>
        <v>0</v>
      </c>
      <c r="DS27" s="18">
        <f>IFERROR(VLOOKUP(VLOOKUP($CU$5,'Move History'!$A$2:$NB$516,(13*($DH27-1))+DS$20+262,0),Tables!$AX$2:$BD$53,7,0),0)</f>
        <v>0</v>
      </c>
      <c r="DT27" s="18">
        <f>IFERROR(VLOOKUP(VLOOKUP($CU$5,'Move History'!$A$2:$NB$516,(13*($DH27-1))+DT$20+262,0),Tables!$AX$2:$BD$53,7,0),0)</f>
        <v>0</v>
      </c>
      <c r="DU27" s="188">
        <f>IFERROR(VLOOKUP(VLOOKUP($CU$5,'Move History'!$A$2:$NB$516,(13*($DH27-1))+DU$20+262,0),Tables!$AX$2:$BD$53,7,0),0)</f>
        <v>0</v>
      </c>
      <c r="DV27" s="18"/>
      <c r="DW27" s="18"/>
      <c r="DX27" s="18"/>
      <c r="DY27" s="18"/>
      <c r="DZ27" s="18"/>
    </row>
    <row r="28" spans="1:130" ht="15" customHeight="1" thickBot="1" x14ac:dyDescent="0.3">
      <c r="A28" s="18"/>
      <c r="B28" s="18"/>
      <c r="C28" s="18"/>
      <c r="D28" s="232"/>
      <c r="E28" s="233"/>
      <c r="F28" s="18"/>
      <c r="G28" s="122"/>
      <c r="H28" s="123"/>
      <c r="I28" s="220" t="b">
        <f>Selections!I6</f>
        <v>0</v>
      </c>
      <c r="J28" s="221"/>
      <c r="K28" s="18"/>
      <c r="L28" s="18"/>
      <c r="M28" s="18"/>
      <c r="N28" s="220" t="b">
        <f>Selections!I10</f>
        <v>0</v>
      </c>
      <c r="O28" s="221"/>
      <c r="P28" s="18"/>
      <c r="Q28" s="18"/>
      <c r="R28" s="18"/>
      <c r="S28" s="18"/>
      <c r="T28" s="18"/>
      <c r="U28" s="18"/>
      <c r="V28" s="222"/>
      <c r="W28" s="223"/>
      <c r="X28" s="227"/>
      <c r="Y28" s="228"/>
      <c r="Z28" s="228"/>
      <c r="AA28" s="229"/>
      <c r="AB28" s="18"/>
      <c r="AC28" s="18"/>
      <c r="AD28" s="227"/>
      <c r="AE28" s="228"/>
      <c r="AF28" s="228"/>
      <c r="AG28" s="229"/>
      <c r="AH28" s="18"/>
      <c r="AI28" s="227"/>
      <c r="AJ28" s="228"/>
      <c r="AK28" s="228"/>
      <c r="AL28" s="229"/>
      <c r="AM28" s="18"/>
      <c r="AN28" s="227"/>
      <c r="AO28" s="228"/>
      <c r="AP28" s="228"/>
      <c r="AQ28" s="229"/>
      <c r="AR28" s="18"/>
      <c r="AS28" s="227"/>
      <c r="AT28" s="228"/>
      <c r="AU28" s="228"/>
      <c r="AV28" s="229"/>
      <c r="AW28" s="18"/>
      <c r="AX28" s="227"/>
      <c r="AY28" s="228"/>
      <c r="AZ28" s="228"/>
      <c r="BA28" s="229"/>
      <c r="BB28" s="18"/>
      <c r="BC28" s="227"/>
      <c r="BD28" s="228"/>
      <c r="BE28" s="228"/>
      <c r="BF28" s="229"/>
      <c r="BG28" s="18"/>
      <c r="BH28" s="227"/>
      <c r="BI28" s="228"/>
      <c r="BJ28" s="228"/>
      <c r="BK28" s="229"/>
      <c r="BL28" s="18"/>
      <c r="BM28" s="227"/>
      <c r="BN28" s="228"/>
      <c r="BO28" s="228"/>
      <c r="BP28" s="229"/>
      <c r="BQ28" s="18"/>
      <c r="BR28" s="227"/>
      <c r="BS28" s="228"/>
      <c r="BT28" s="228"/>
      <c r="BU28" s="229"/>
      <c r="BV28" s="18"/>
      <c r="BW28" s="227"/>
      <c r="BX28" s="228"/>
      <c r="BY28" s="228"/>
      <c r="BZ28" s="229"/>
      <c r="CA28" s="18"/>
      <c r="CB28" s="227"/>
      <c r="CC28" s="228"/>
      <c r="CD28" s="228"/>
      <c r="CE28" s="229"/>
      <c r="CF28" s="18"/>
      <c r="CG28" s="227"/>
      <c r="CH28" s="228"/>
      <c r="CI28" s="228"/>
      <c r="CJ28" s="229"/>
      <c r="CK28" s="18"/>
      <c r="CL28" s="227"/>
      <c r="CM28" s="228"/>
      <c r="CN28" s="228"/>
      <c r="CO28" s="229"/>
      <c r="CP28" s="18"/>
      <c r="CQ28" s="182">
        <f>IFERROR(VLOOKUP(VLOOKUP($CU$5,'Move History'!$A$2:$NB$516,CQ$27+246,0),Tables!$AX$2:$BD$53,7,0),0)</f>
        <v>0</v>
      </c>
      <c r="CR28" s="183">
        <f>IFERROR(VLOOKUP(VLOOKUP($CU$5,'Move History'!$A$2:$NB$516,CR$27+246,0),Tables!$AX$2:$BD$53,7,0),0)</f>
        <v>0</v>
      </c>
      <c r="CS28" s="183">
        <f>IFERROR(VLOOKUP(VLOOKUP($CU$5,'Move History'!$A$2:$NB$516,CS$27+246,0),Tables!$AX$2:$BD$53,7,0),0)</f>
        <v>0</v>
      </c>
      <c r="CT28" s="183">
        <f>IFERROR(VLOOKUP(VLOOKUP($CU$5,'Move History'!$A$2:$NB$516,CT$27+246,0),Tables!$AX$2:$BD$53,7,0),0)</f>
        <v>0</v>
      </c>
      <c r="CU28" s="183">
        <f>IFERROR(VLOOKUP(VLOOKUP($CU$5,'Move History'!$A$2:$NB$516,CU$27+246,0),Tables!$AX$2:$BD$53,7,0),0)</f>
        <v>0</v>
      </c>
      <c r="CV28" s="183">
        <f>IFERROR(VLOOKUP(VLOOKUP($CU$5,'Move History'!$A$2:$NB$516,CV$27+246,0),Tables!$AX$2:$BD$53,7,0),0)</f>
        <v>0</v>
      </c>
      <c r="CW28" s="183">
        <f>IFERROR(VLOOKUP(VLOOKUP($CU$5,'Move History'!$A$2:$NB$516,CW$27+246,0),Tables!$AX$2:$BD$53,7,0),0)</f>
        <v>0</v>
      </c>
      <c r="CX28" s="183">
        <f>IFERROR(VLOOKUP(VLOOKUP($CU$5,'Move History'!$A$2:$NB$516,CX$27+246,0),Tables!$AX$2:$BD$53,7,0),0)</f>
        <v>0</v>
      </c>
      <c r="CY28" s="183">
        <f>IFERROR(VLOOKUP(VLOOKUP($CU$5,'Move History'!$A$2:$NB$516,CY$27+246,0),Tables!$AX$2:$BD$53,7,0),0)</f>
        <v>0</v>
      </c>
      <c r="CZ28" s="183">
        <f>IFERROR(VLOOKUP(VLOOKUP($CU$5,'Move History'!$A$2:$NB$516,CZ$27+246,0),Tables!$AX$2:$BD$53,7,0),0)</f>
        <v>0</v>
      </c>
      <c r="DA28" s="183">
        <f>IFERROR(VLOOKUP(VLOOKUP($CU$5,'Move History'!$A$2:$NB$516,DA$27+246,0),Tables!$AX$2:$BD$53,7,0),0)</f>
        <v>0</v>
      </c>
      <c r="DB28" s="183">
        <f>IFERROR(VLOOKUP(VLOOKUP($CU$5,'Move History'!$A$2:$NB$516,DB$27+246,0),Tables!$AX$2:$BD$53,7,0),0)</f>
        <v>0</v>
      </c>
      <c r="DC28" s="183">
        <f>IFERROR(VLOOKUP(VLOOKUP($CU$5,'Move History'!$A$2:$NB$516,DC$27+246,0),Tables!$AX$2:$BD$53,7,0),0)</f>
        <v>0</v>
      </c>
      <c r="DD28" s="183">
        <f>IFERROR(VLOOKUP(VLOOKUP($CU$5,'Move History'!$A$2:$NB$516,DD$27+246,0),Tables!$AX$2:$BD$53,7,0),0)</f>
        <v>0</v>
      </c>
      <c r="DE28" s="183">
        <f>IFERROR(VLOOKUP(VLOOKUP($CU$5,'Move History'!$A$2:$NB$516,DE$27+246,0),Tables!$AX$2:$BD$53,7,0),0)</f>
        <v>0</v>
      </c>
      <c r="DF28" s="184">
        <f>IFERROR(VLOOKUP(VLOOKUP($CU$5,'Move History'!$A$2:$NB$516,DF$27+246,0),Tables!$AX$2:$BD$53,7,0),0)</f>
        <v>0</v>
      </c>
      <c r="DG28" s="18"/>
      <c r="DH28" s="191">
        <v>8</v>
      </c>
      <c r="DI28" s="169">
        <f>IFERROR(VLOOKUP(VLOOKUP($CU$5,'Move History'!$A$2:$NB$516,(13*($DH28-1))+DI$20+262,0),Tables!$AX$2:$BD$53,7,0),0)</f>
        <v>0</v>
      </c>
      <c r="DJ28" s="170">
        <f>IFERROR(VLOOKUP(VLOOKUP($CU$5,'Move History'!$A$2:$NB$516,(13*($DH28-1))+DJ$20+262,0),Tables!$AX$2:$BD$53,7,0),0)</f>
        <v>0</v>
      </c>
      <c r="DK28" s="170">
        <f>IFERROR(VLOOKUP(VLOOKUP($CU$5,'Move History'!$A$2:$NB$516,(13*($DH28-1))+DK$20+262,0),Tables!$AX$2:$BD$53,7,0),0)</f>
        <v>0</v>
      </c>
      <c r="DL28" s="170">
        <f>IFERROR(VLOOKUP(VLOOKUP($CU$5,'Move History'!$A$2:$NB$516,(13*($DH28-1))+DL$20+262,0),Tables!$AX$2:$BD$53,7,0),0)</f>
        <v>0</v>
      </c>
      <c r="DM28" s="170">
        <f>IFERROR(VLOOKUP(VLOOKUP($CU$5,'Move History'!$A$2:$NB$516,(13*($DH28-1))+DM$20+262,0),Tables!$AX$2:$BD$53,7,0),0)</f>
        <v>0</v>
      </c>
      <c r="DN28" s="170">
        <f>IFERROR(VLOOKUP(VLOOKUP($CU$5,'Move History'!$A$2:$NB$516,(13*($DH28-1))+DN$20+262,0),Tables!$AX$2:$BD$53,7,0),0)</f>
        <v>0</v>
      </c>
      <c r="DO28" s="170">
        <f>IFERROR(VLOOKUP(VLOOKUP($CU$5,'Move History'!$A$2:$NB$516,(13*($DH28-1))+DO$20+262,0),Tables!$AX$2:$BD$53,7,0),0)</f>
        <v>0</v>
      </c>
      <c r="DP28" s="170">
        <f>IFERROR(VLOOKUP(VLOOKUP($CU$5,'Move History'!$A$2:$NB$516,(13*($DH28-1))+DP$20+262,0),Tables!$AX$2:$BD$53,7,0),0)</f>
        <v>0</v>
      </c>
      <c r="DQ28" s="170">
        <f>IFERROR(VLOOKUP(VLOOKUP($CU$5,'Move History'!$A$2:$NB$516,(13*($DH28-1))+DQ$20+262,0),Tables!$AX$2:$BD$53,7,0),0)</f>
        <v>0</v>
      </c>
      <c r="DR28" s="170">
        <f>IFERROR(VLOOKUP(VLOOKUP($CU$5,'Move History'!$A$2:$NB$516,(13*($DH28-1))+DR$20+262,0),Tables!$AX$2:$BD$53,7,0),0)</f>
        <v>0</v>
      </c>
      <c r="DS28" s="170">
        <f>IFERROR(VLOOKUP(VLOOKUP($CU$5,'Move History'!$A$2:$NB$516,(13*($DH28-1))+DS$20+262,0),Tables!$AX$2:$BD$53,7,0),0)</f>
        <v>0</v>
      </c>
      <c r="DT28" s="170">
        <f>IFERROR(VLOOKUP(VLOOKUP($CU$5,'Move History'!$A$2:$NB$516,(13*($DH28-1))+DT$20+262,0),Tables!$AX$2:$BD$53,7,0),0)</f>
        <v>0</v>
      </c>
      <c r="DU28" s="189">
        <f>IFERROR(VLOOKUP(VLOOKUP($CU$5,'Move History'!$A$2:$NB$516,(13*($DH28-1))+DU$20+262,0),Tables!$AX$2:$BD$53,7,0),0)</f>
        <v>0</v>
      </c>
      <c r="DV28" s="18"/>
      <c r="DW28" s="18"/>
      <c r="DX28" s="18"/>
      <c r="DY28" s="18"/>
      <c r="DZ28" s="18"/>
    </row>
    <row r="29" spans="1:130" ht="15" customHeight="1" thickBot="1" x14ac:dyDescent="0.3">
      <c r="A29" s="18"/>
      <c r="B29" s="18"/>
      <c r="C29" s="18"/>
      <c r="D29" s="232"/>
      <c r="E29" s="233"/>
      <c r="F29" s="18"/>
      <c r="G29" s="18"/>
      <c r="H29" s="18"/>
      <c r="I29" s="222"/>
      <c r="J29" s="223"/>
      <c r="K29" s="18"/>
      <c r="L29" s="18"/>
      <c r="M29" s="18"/>
      <c r="N29" s="222"/>
      <c r="O29" s="223"/>
      <c r="P29" s="18"/>
      <c r="Q29" s="18"/>
      <c r="R29" s="18"/>
      <c r="S29" s="18"/>
      <c r="T29" s="18"/>
      <c r="U29" s="18"/>
      <c r="V29" s="220" t="b">
        <f>Selections!U15</f>
        <v>0</v>
      </c>
      <c r="W29" s="221"/>
      <c r="X29" s="224" t="str">
        <f>'Display Map'!G15</f>
        <v/>
      </c>
      <c r="Y29" s="225"/>
      <c r="Z29" s="225"/>
      <c r="AA29" s="226"/>
      <c r="AB29" s="18"/>
      <c r="AC29" s="18"/>
      <c r="AD29" s="224" t="str">
        <f>'Display Map'!K15</f>
        <v/>
      </c>
      <c r="AE29" s="225"/>
      <c r="AF29" s="225"/>
      <c r="AG29" s="226"/>
      <c r="AH29" s="18"/>
      <c r="AI29" s="224" t="str">
        <f>'Display Map'!L15</f>
        <v/>
      </c>
      <c r="AJ29" s="225"/>
      <c r="AK29" s="225"/>
      <c r="AL29" s="226"/>
      <c r="AM29" s="18"/>
      <c r="AN29" s="224" t="str">
        <f>'Display Map'!M15</f>
        <v/>
      </c>
      <c r="AO29" s="225"/>
      <c r="AP29" s="225"/>
      <c r="AQ29" s="226"/>
      <c r="AR29" s="18"/>
      <c r="AS29" s="224" t="str">
        <f>'Display Map'!N15</f>
        <v/>
      </c>
      <c r="AT29" s="225"/>
      <c r="AU29" s="225"/>
      <c r="AV29" s="226"/>
      <c r="AW29" s="18"/>
      <c r="AX29" s="224" t="str">
        <f>'Display Map'!O15</f>
        <v/>
      </c>
      <c r="AY29" s="225"/>
      <c r="AZ29" s="225"/>
      <c r="BA29" s="226"/>
      <c r="BB29" s="18"/>
      <c r="BC29" s="224" t="str">
        <f>'Display Map'!P15</f>
        <v/>
      </c>
      <c r="BD29" s="225"/>
      <c r="BE29" s="225"/>
      <c r="BF29" s="226"/>
      <c r="BG29" s="18"/>
      <c r="BH29" s="224" t="str">
        <f>'Display Map'!Q15</f>
        <v/>
      </c>
      <c r="BI29" s="225"/>
      <c r="BJ29" s="225"/>
      <c r="BK29" s="226"/>
      <c r="BL29" s="18"/>
      <c r="BM29" s="224" t="str">
        <f>'Display Map'!R15</f>
        <v/>
      </c>
      <c r="BN29" s="225"/>
      <c r="BO29" s="225"/>
      <c r="BP29" s="226"/>
      <c r="BQ29" s="18"/>
      <c r="BR29" s="224" t="str">
        <f>'Display Map'!S15</f>
        <v/>
      </c>
      <c r="BS29" s="225"/>
      <c r="BT29" s="225"/>
      <c r="BU29" s="226"/>
      <c r="BV29" s="18"/>
      <c r="BW29" s="224" t="str">
        <f>'Display Map'!T15</f>
        <v/>
      </c>
      <c r="BX29" s="225"/>
      <c r="BY29" s="225"/>
      <c r="BZ29" s="226"/>
      <c r="CA29" s="18"/>
      <c r="CB29" s="224" t="str">
        <f>'Display Map'!U15</f>
        <v/>
      </c>
      <c r="CC29" s="225"/>
      <c r="CD29" s="225"/>
      <c r="CE29" s="226"/>
      <c r="CF29" s="18"/>
      <c r="CG29" s="224" t="str">
        <f>'Display Map'!V15</f>
        <v/>
      </c>
      <c r="CH29" s="225"/>
      <c r="CI29" s="225"/>
      <c r="CJ29" s="226"/>
      <c r="CK29" s="18"/>
      <c r="CL29" s="224" t="str">
        <f>'Display Map'!W15</f>
        <v/>
      </c>
      <c r="CM29" s="225"/>
      <c r="CN29" s="225"/>
      <c r="CO29" s="226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</row>
    <row r="30" spans="1:130" ht="15" customHeight="1" thickBot="1" x14ac:dyDescent="0.3">
      <c r="A30" s="18"/>
      <c r="B30" s="18"/>
      <c r="C30" s="18"/>
      <c r="D30" s="232"/>
      <c r="E30" s="233"/>
      <c r="F30" s="18"/>
      <c r="G30" s="18"/>
      <c r="H30" s="18"/>
      <c r="I30" s="220"/>
      <c r="J30" s="221"/>
      <c r="K30" s="18"/>
      <c r="L30" s="124"/>
      <c r="M30" s="124"/>
      <c r="N30" s="220"/>
      <c r="O30" s="221"/>
      <c r="P30" s="18"/>
      <c r="Q30" s="18"/>
      <c r="R30" s="18"/>
      <c r="S30" s="18"/>
      <c r="T30" s="18"/>
      <c r="U30" s="18"/>
      <c r="V30" s="222"/>
      <c r="W30" s="223"/>
      <c r="X30" s="227"/>
      <c r="Y30" s="228"/>
      <c r="Z30" s="228"/>
      <c r="AA30" s="229"/>
      <c r="AB30" s="18"/>
      <c r="AC30" s="18"/>
      <c r="AD30" s="227"/>
      <c r="AE30" s="228"/>
      <c r="AF30" s="228"/>
      <c r="AG30" s="229"/>
      <c r="AH30" s="18"/>
      <c r="AI30" s="227"/>
      <c r="AJ30" s="228"/>
      <c r="AK30" s="228"/>
      <c r="AL30" s="229"/>
      <c r="AM30" s="18"/>
      <c r="AN30" s="227"/>
      <c r="AO30" s="228"/>
      <c r="AP30" s="228"/>
      <c r="AQ30" s="229"/>
      <c r="AR30" s="18"/>
      <c r="AS30" s="227"/>
      <c r="AT30" s="228"/>
      <c r="AU30" s="228"/>
      <c r="AV30" s="229"/>
      <c r="AW30" s="18"/>
      <c r="AX30" s="227"/>
      <c r="AY30" s="228"/>
      <c r="AZ30" s="228"/>
      <c r="BA30" s="229"/>
      <c r="BB30" s="18"/>
      <c r="BC30" s="227"/>
      <c r="BD30" s="228"/>
      <c r="BE30" s="228"/>
      <c r="BF30" s="229"/>
      <c r="BG30" s="18"/>
      <c r="BH30" s="227"/>
      <c r="BI30" s="228"/>
      <c r="BJ30" s="228"/>
      <c r="BK30" s="229"/>
      <c r="BL30" s="18"/>
      <c r="BM30" s="227"/>
      <c r="BN30" s="228"/>
      <c r="BO30" s="228"/>
      <c r="BP30" s="229"/>
      <c r="BQ30" s="18"/>
      <c r="BR30" s="227"/>
      <c r="BS30" s="228"/>
      <c r="BT30" s="228"/>
      <c r="BU30" s="229"/>
      <c r="BV30" s="18"/>
      <c r="BW30" s="227"/>
      <c r="BX30" s="228"/>
      <c r="BY30" s="228"/>
      <c r="BZ30" s="229"/>
      <c r="CA30" s="18"/>
      <c r="CB30" s="227"/>
      <c r="CC30" s="228"/>
      <c r="CD30" s="228"/>
      <c r="CE30" s="229"/>
      <c r="CF30" s="18"/>
      <c r="CG30" s="227"/>
      <c r="CH30" s="228"/>
      <c r="CI30" s="228"/>
      <c r="CJ30" s="229"/>
      <c r="CK30" s="18"/>
      <c r="CL30" s="227"/>
      <c r="CM30" s="228"/>
      <c r="CN30" s="228"/>
      <c r="CO30" s="229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K30" s="18"/>
      <c r="DL30" s="18"/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</row>
    <row r="31" spans="1:130" ht="15" customHeight="1" thickBot="1" x14ac:dyDescent="0.3">
      <c r="A31" s="18"/>
      <c r="B31" s="18"/>
      <c r="C31" s="18"/>
      <c r="D31" s="234"/>
      <c r="E31" s="235"/>
      <c r="F31" s="18"/>
      <c r="G31" s="18"/>
      <c r="H31" s="18"/>
      <c r="I31" s="222"/>
      <c r="J31" s="223"/>
      <c r="K31" s="18"/>
      <c r="L31" s="124"/>
      <c r="M31" s="124"/>
      <c r="N31" s="222"/>
      <c r="O31" s="223"/>
      <c r="P31" s="18"/>
      <c r="Q31" s="18"/>
      <c r="R31" s="18"/>
      <c r="S31" s="18"/>
      <c r="T31" s="18"/>
      <c r="U31" s="18"/>
      <c r="V31" s="220" t="b">
        <f>Selections!U16</f>
        <v>0</v>
      </c>
      <c r="W31" s="221"/>
      <c r="X31" s="224" t="str">
        <f>'Display Map'!G16</f>
        <v/>
      </c>
      <c r="Y31" s="225"/>
      <c r="Z31" s="225"/>
      <c r="AA31" s="226"/>
      <c r="AB31" s="18"/>
      <c r="AC31" s="18"/>
      <c r="AD31" s="224" t="str">
        <f>'Display Map'!K16</f>
        <v/>
      </c>
      <c r="AE31" s="225"/>
      <c r="AF31" s="225"/>
      <c r="AG31" s="226"/>
      <c r="AH31" s="18"/>
      <c r="AI31" s="224" t="str">
        <f>'Display Map'!L16</f>
        <v/>
      </c>
      <c r="AJ31" s="225"/>
      <c r="AK31" s="225"/>
      <c r="AL31" s="226"/>
      <c r="AM31" s="18"/>
      <c r="AN31" s="224" t="str">
        <f>'Display Map'!M16</f>
        <v/>
      </c>
      <c r="AO31" s="225"/>
      <c r="AP31" s="225"/>
      <c r="AQ31" s="226"/>
      <c r="AR31" s="18"/>
      <c r="AS31" s="224" t="str">
        <f>'Display Map'!N16</f>
        <v/>
      </c>
      <c r="AT31" s="225"/>
      <c r="AU31" s="225"/>
      <c r="AV31" s="226"/>
      <c r="AW31" s="18"/>
      <c r="AX31" s="224" t="str">
        <f>'Display Map'!O16</f>
        <v/>
      </c>
      <c r="AY31" s="225"/>
      <c r="AZ31" s="225"/>
      <c r="BA31" s="226"/>
      <c r="BB31" s="18"/>
      <c r="BC31" s="224" t="str">
        <f>'Display Map'!P16</f>
        <v/>
      </c>
      <c r="BD31" s="225"/>
      <c r="BE31" s="225"/>
      <c r="BF31" s="226"/>
      <c r="BG31" s="18"/>
      <c r="BH31" s="224" t="str">
        <f>'Display Map'!Q16</f>
        <v/>
      </c>
      <c r="BI31" s="225"/>
      <c r="BJ31" s="225"/>
      <c r="BK31" s="226"/>
      <c r="BL31" s="18"/>
      <c r="BM31" s="224" t="str">
        <f>'Display Map'!R16</f>
        <v/>
      </c>
      <c r="BN31" s="225"/>
      <c r="BO31" s="225"/>
      <c r="BP31" s="226"/>
      <c r="BQ31" s="18"/>
      <c r="BR31" s="224" t="str">
        <f>'Display Map'!S16</f>
        <v/>
      </c>
      <c r="BS31" s="225"/>
      <c r="BT31" s="225"/>
      <c r="BU31" s="226"/>
      <c r="BV31" s="18"/>
      <c r="BW31" s="224" t="str">
        <f>'Display Map'!T16</f>
        <v/>
      </c>
      <c r="BX31" s="225"/>
      <c r="BY31" s="225"/>
      <c r="BZ31" s="226"/>
      <c r="CA31" s="18"/>
      <c r="CB31" s="224" t="str">
        <f>'Display Map'!U16</f>
        <v/>
      </c>
      <c r="CC31" s="225"/>
      <c r="CD31" s="225"/>
      <c r="CE31" s="226"/>
      <c r="CF31" s="18"/>
      <c r="CG31" s="224" t="str">
        <f>'Display Map'!V16</f>
        <v/>
      </c>
      <c r="CH31" s="225"/>
      <c r="CI31" s="225"/>
      <c r="CJ31" s="226"/>
      <c r="CK31" s="18"/>
      <c r="CL31" s="224" t="str">
        <f>'Display Map'!W16</f>
        <v/>
      </c>
      <c r="CM31" s="225"/>
      <c r="CN31" s="225"/>
      <c r="CO31" s="226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</row>
    <row r="32" spans="1:130" ht="15" customHeight="1" thickBot="1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222"/>
      <c r="W32" s="223"/>
      <c r="X32" s="227"/>
      <c r="Y32" s="228"/>
      <c r="Z32" s="228"/>
      <c r="AA32" s="229"/>
      <c r="AB32" s="18"/>
      <c r="AC32" s="18"/>
      <c r="AD32" s="227"/>
      <c r="AE32" s="228"/>
      <c r="AF32" s="228"/>
      <c r="AG32" s="229"/>
      <c r="AH32" s="18"/>
      <c r="AI32" s="227"/>
      <c r="AJ32" s="228"/>
      <c r="AK32" s="228"/>
      <c r="AL32" s="229"/>
      <c r="AM32" s="18"/>
      <c r="AN32" s="227"/>
      <c r="AO32" s="228"/>
      <c r="AP32" s="228"/>
      <c r="AQ32" s="229"/>
      <c r="AR32" s="18"/>
      <c r="AS32" s="227"/>
      <c r="AT32" s="228"/>
      <c r="AU32" s="228"/>
      <c r="AV32" s="229"/>
      <c r="AW32" s="18"/>
      <c r="AX32" s="227"/>
      <c r="AY32" s="228"/>
      <c r="AZ32" s="228"/>
      <c r="BA32" s="229"/>
      <c r="BB32" s="18"/>
      <c r="BC32" s="227"/>
      <c r="BD32" s="228"/>
      <c r="BE32" s="228"/>
      <c r="BF32" s="229"/>
      <c r="BG32" s="18"/>
      <c r="BH32" s="227"/>
      <c r="BI32" s="228"/>
      <c r="BJ32" s="228"/>
      <c r="BK32" s="229"/>
      <c r="BL32" s="18"/>
      <c r="BM32" s="227"/>
      <c r="BN32" s="228"/>
      <c r="BO32" s="228"/>
      <c r="BP32" s="229"/>
      <c r="BQ32" s="18"/>
      <c r="BR32" s="227"/>
      <c r="BS32" s="228"/>
      <c r="BT32" s="228"/>
      <c r="BU32" s="229"/>
      <c r="BV32" s="18"/>
      <c r="BW32" s="227"/>
      <c r="BX32" s="228"/>
      <c r="BY32" s="228"/>
      <c r="BZ32" s="229"/>
      <c r="CA32" s="18"/>
      <c r="CB32" s="227"/>
      <c r="CC32" s="228"/>
      <c r="CD32" s="228"/>
      <c r="CE32" s="229"/>
      <c r="CF32" s="18"/>
      <c r="CG32" s="227"/>
      <c r="CH32" s="228"/>
      <c r="CI32" s="228"/>
      <c r="CJ32" s="229"/>
      <c r="CK32" s="18"/>
      <c r="CL32" s="227"/>
      <c r="CM32" s="228"/>
      <c r="CN32" s="228"/>
      <c r="CO32" s="229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</row>
    <row r="33" spans="1:130" ht="15" customHeight="1" thickBot="1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48"/>
      <c r="M33" s="49"/>
      <c r="N33" s="49"/>
      <c r="O33" s="50"/>
      <c r="P33" s="18"/>
      <c r="Q33" s="18"/>
      <c r="R33" s="18"/>
      <c r="S33" s="18"/>
      <c r="T33" s="18"/>
      <c r="U33" s="18"/>
      <c r="V33" s="220" t="b">
        <f>Selections!U17</f>
        <v>0</v>
      </c>
      <c r="W33" s="221"/>
      <c r="X33" s="224" t="str">
        <f>'Display Map'!G17</f>
        <v/>
      </c>
      <c r="Y33" s="225"/>
      <c r="Z33" s="225"/>
      <c r="AA33" s="226"/>
      <c r="AB33" s="18"/>
      <c r="AC33" s="18"/>
      <c r="AD33" s="224" t="str">
        <f>'Display Map'!K17</f>
        <v/>
      </c>
      <c r="AE33" s="225"/>
      <c r="AF33" s="225"/>
      <c r="AG33" s="226"/>
      <c r="AH33" s="18"/>
      <c r="AI33" s="224" t="str">
        <f>'Display Map'!L17</f>
        <v/>
      </c>
      <c r="AJ33" s="225"/>
      <c r="AK33" s="225"/>
      <c r="AL33" s="226"/>
      <c r="AM33" s="18"/>
      <c r="AN33" s="224" t="str">
        <f>'Display Map'!M17</f>
        <v/>
      </c>
      <c r="AO33" s="225"/>
      <c r="AP33" s="225"/>
      <c r="AQ33" s="226"/>
      <c r="AR33" s="18"/>
      <c r="AS33" s="224" t="str">
        <f>'Display Map'!N17</f>
        <v/>
      </c>
      <c r="AT33" s="225"/>
      <c r="AU33" s="225"/>
      <c r="AV33" s="226"/>
      <c r="AW33" s="18"/>
      <c r="AX33" s="224" t="str">
        <f>'Display Map'!O17</f>
        <v/>
      </c>
      <c r="AY33" s="225"/>
      <c r="AZ33" s="225"/>
      <c r="BA33" s="226"/>
      <c r="BB33" s="18"/>
      <c r="BC33" s="224" t="str">
        <f>'Display Map'!P17</f>
        <v/>
      </c>
      <c r="BD33" s="225"/>
      <c r="BE33" s="225"/>
      <c r="BF33" s="226"/>
      <c r="BG33" s="18"/>
      <c r="BH33" s="224" t="str">
        <f>'Display Map'!Q17</f>
        <v/>
      </c>
      <c r="BI33" s="225"/>
      <c r="BJ33" s="225"/>
      <c r="BK33" s="226"/>
      <c r="BL33" s="18"/>
      <c r="BM33" s="224" t="str">
        <f>'Display Map'!R17</f>
        <v/>
      </c>
      <c r="BN33" s="225"/>
      <c r="BO33" s="225"/>
      <c r="BP33" s="226"/>
      <c r="BQ33" s="18"/>
      <c r="BR33" s="224" t="str">
        <f>'Display Map'!S17</f>
        <v/>
      </c>
      <c r="BS33" s="225"/>
      <c r="BT33" s="225"/>
      <c r="BU33" s="226"/>
      <c r="BV33" s="18"/>
      <c r="BW33" s="224" t="str">
        <f>'Display Map'!T17</f>
        <v/>
      </c>
      <c r="BX33" s="225"/>
      <c r="BY33" s="225"/>
      <c r="BZ33" s="226"/>
      <c r="CA33" s="18"/>
      <c r="CB33" s="224" t="str">
        <f>'Display Map'!U17</f>
        <v/>
      </c>
      <c r="CC33" s="225"/>
      <c r="CD33" s="225"/>
      <c r="CE33" s="226"/>
      <c r="CF33" s="18"/>
      <c r="CG33" s="224" t="str">
        <f>'Display Map'!V17</f>
        <v/>
      </c>
      <c r="CH33" s="225"/>
      <c r="CI33" s="225"/>
      <c r="CJ33" s="226"/>
      <c r="CK33" s="18"/>
      <c r="CL33" s="224" t="str">
        <f>'Display Map'!W17</f>
        <v/>
      </c>
      <c r="CM33" s="225"/>
      <c r="CN33" s="225"/>
      <c r="CO33" s="226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</row>
    <row r="34" spans="1:130" ht="15" customHeight="1" thickBot="1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51"/>
      <c r="M34" s="216">
        <f>COUNTA(Tables!$H$2:$H$51)</f>
        <v>23</v>
      </c>
      <c r="N34" s="217"/>
      <c r="O34" s="52"/>
      <c r="P34" s="18"/>
      <c r="Q34" s="18"/>
      <c r="R34" s="18"/>
      <c r="S34" s="18"/>
      <c r="T34" s="18"/>
      <c r="U34" s="18"/>
      <c r="V34" s="222"/>
      <c r="W34" s="223"/>
      <c r="X34" s="227"/>
      <c r="Y34" s="228"/>
      <c r="Z34" s="228"/>
      <c r="AA34" s="229"/>
      <c r="AB34" s="18"/>
      <c r="AC34" s="18"/>
      <c r="AD34" s="227"/>
      <c r="AE34" s="228"/>
      <c r="AF34" s="228"/>
      <c r="AG34" s="229"/>
      <c r="AH34" s="18"/>
      <c r="AI34" s="227"/>
      <c r="AJ34" s="228"/>
      <c r="AK34" s="228"/>
      <c r="AL34" s="229"/>
      <c r="AM34" s="18"/>
      <c r="AN34" s="227"/>
      <c r="AO34" s="228"/>
      <c r="AP34" s="228"/>
      <c r="AQ34" s="229"/>
      <c r="AR34" s="18"/>
      <c r="AS34" s="227"/>
      <c r="AT34" s="228"/>
      <c r="AU34" s="228"/>
      <c r="AV34" s="229"/>
      <c r="AW34" s="18"/>
      <c r="AX34" s="227"/>
      <c r="AY34" s="228"/>
      <c r="AZ34" s="228"/>
      <c r="BA34" s="229"/>
      <c r="BB34" s="18"/>
      <c r="BC34" s="227"/>
      <c r="BD34" s="228"/>
      <c r="BE34" s="228"/>
      <c r="BF34" s="229"/>
      <c r="BG34" s="18"/>
      <c r="BH34" s="227"/>
      <c r="BI34" s="228"/>
      <c r="BJ34" s="228"/>
      <c r="BK34" s="229"/>
      <c r="BL34" s="18"/>
      <c r="BM34" s="227"/>
      <c r="BN34" s="228"/>
      <c r="BO34" s="228"/>
      <c r="BP34" s="229"/>
      <c r="BQ34" s="18"/>
      <c r="BR34" s="227"/>
      <c r="BS34" s="228"/>
      <c r="BT34" s="228"/>
      <c r="BU34" s="229"/>
      <c r="BV34" s="18"/>
      <c r="BW34" s="227"/>
      <c r="BX34" s="228"/>
      <c r="BY34" s="228"/>
      <c r="BZ34" s="229"/>
      <c r="CA34" s="18"/>
      <c r="CB34" s="227"/>
      <c r="CC34" s="228"/>
      <c r="CD34" s="228"/>
      <c r="CE34" s="229"/>
      <c r="CF34" s="18"/>
      <c r="CG34" s="227"/>
      <c r="CH34" s="228"/>
      <c r="CI34" s="228"/>
      <c r="CJ34" s="229"/>
      <c r="CK34" s="18"/>
      <c r="CL34" s="227"/>
      <c r="CM34" s="228"/>
      <c r="CN34" s="228"/>
      <c r="CO34" s="229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</row>
    <row r="35" spans="1:130" ht="15" customHeight="1" thickBot="1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51"/>
      <c r="M35" s="218"/>
      <c r="N35" s="219"/>
      <c r="O35" s="52"/>
      <c r="P35" s="18"/>
      <c r="Q35" s="18"/>
      <c r="R35" s="18"/>
      <c r="S35" s="18"/>
      <c r="T35" s="18"/>
      <c r="U35" s="18"/>
      <c r="V35" s="220" t="b">
        <f>Selections!U18</f>
        <v>0</v>
      </c>
      <c r="W35" s="221"/>
      <c r="X35" s="224" t="str">
        <f>'Display Map'!G18</f>
        <v/>
      </c>
      <c r="Y35" s="225"/>
      <c r="Z35" s="225"/>
      <c r="AA35" s="226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</row>
    <row r="36" spans="1:130" ht="15" customHeight="1" thickBot="1" x14ac:dyDescent="0.3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53"/>
      <c r="M36" s="54"/>
      <c r="N36" s="54"/>
      <c r="O36" s="55"/>
      <c r="P36" s="18"/>
      <c r="Q36" s="18"/>
      <c r="R36" s="18"/>
      <c r="S36" s="18"/>
      <c r="T36" s="18"/>
      <c r="U36" s="18"/>
      <c r="V36" s="222"/>
      <c r="W36" s="223"/>
      <c r="X36" s="227"/>
      <c r="Y36" s="228"/>
      <c r="Z36" s="228"/>
      <c r="AA36" s="229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</row>
    <row r="37" spans="1:130" ht="15" customHeight="1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260" t="b">
        <f>Selections!AG3</f>
        <v>0</v>
      </c>
      <c r="AE37" s="261"/>
      <c r="AF37" s="261"/>
      <c r="AG37" s="262"/>
      <c r="AH37" s="18"/>
      <c r="AI37" s="260" t="b">
        <f>Selections!AG4</f>
        <v>0</v>
      </c>
      <c r="AJ37" s="261"/>
      <c r="AK37" s="261"/>
      <c r="AL37" s="262"/>
      <c r="AM37" s="18"/>
      <c r="AN37" s="260" t="b">
        <f>Selections!AG5</f>
        <v>0</v>
      </c>
      <c r="AO37" s="261"/>
      <c r="AP37" s="261"/>
      <c r="AQ37" s="262"/>
      <c r="AR37" s="18"/>
      <c r="AS37" s="260" t="b">
        <f>Selections!AG6</f>
        <v>0</v>
      </c>
      <c r="AT37" s="261"/>
      <c r="AU37" s="261"/>
      <c r="AV37" s="262"/>
      <c r="AW37" s="18"/>
      <c r="AX37" s="260" t="b">
        <f>Selections!AG7</f>
        <v>0</v>
      </c>
      <c r="AY37" s="261"/>
      <c r="AZ37" s="261"/>
      <c r="BA37" s="262"/>
      <c r="BB37" s="18"/>
      <c r="BC37" s="260" t="b">
        <f>Selections!AG8</f>
        <v>0</v>
      </c>
      <c r="BD37" s="261"/>
      <c r="BE37" s="261"/>
      <c r="BF37" s="262"/>
      <c r="BG37" s="18"/>
      <c r="BH37" s="260" t="b">
        <f>Selections!AG9</f>
        <v>0</v>
      </c>
      <c r="BI37" s="261"/>
      <c r="BJ37" s="261"/>
      <c r="BK37" s="262"/>
      <c r="BL37" s="18"/>
      <c r="BM37" s="260" t="b">
        <f>Selections!AG10</f>
        <v>0</v>
      </c>
      <c r="BN37" s="261"/>
      <c r="BO37" s="261"/>
      <c r="BP37" s="262"/>
      <c r="BQ37" s="18"/>
      <c r="BR37" s="260" t="b">
        <f>Selections!AG11</f>
        <v>0</v>
      </c>
      <c r="BS37" s="261"/>
      <c r="BT37" s="261"/>
      <c r="BU37" s="262"/>
      <c r="BV37" s="18"/>
      <c r="BW37" s="260" t="b">
        <f>Selections!AG12</f>
        <v>0</v>
      </c>
      <c r="BX37" s="261"/>
      <c r="BY37" s="261"/>
      <c r="BZ37" s="262"/>
      <c r="CA37" s="18"/>
      <c r="CB37" s="260" t="b">
        <f>Selections!AG13</f>
        <v>0</v>
      </c>
      <c r="CC37" s="261"/>
      <c r="CD37" s="261"/>
      <c r="CE37" s="262"/>
      <c r="CF37" s="18"/>
      <c r="CG37" s="260" t="b">
        <f>Selections!AG14</f>
        <v>0</v>
      </c>
      <c r="CH37" s="261"/>
      <c r="CI37" s="261"/>
      <c r="CJ37" s="262"/>
      <c r="CK37" s="18"/>
      <c r="CL37" s="260" t="b">
        <f>Selections!AG15</f>
        <v>0</v>
      </c>
      <c r="CM37" s="261"/>
      <c r="CN37" s="261"/>
      <c r="CO37" s="262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</row>
    <row r="38" spans="1:130" ht="15" customHeight="1" thickBot="1" x14ac:dyDescent="0.3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263"/>
      <c r="AE38" s="264"/>
      <c r="AF38" s="264"/>
      <c r="AG38" s="265"/>
      <c r="AH38" s="18"/>
      <c r="AI38" s="263"/>
      <c r="AJ38" s="264"/>
      <c r="AK38" s="264"/>
      <c r="AL38" s="265"/>
      <c r="AM38" s="18"/>
      <c r="AN38" s="263"/>
      <c r="AO38" s="264"/>
      <c r="AP38" s="264"/>
      <c r="AQ38" s="265"/>
      <c r="AR38" s="18"/>
      <c r="AS38" s="263"/>
      <c r="AT38" s="264"/>
      <c r="AU38" s="264"/>
      <c r="AV38" s="265"/>
      <c r="AW38" s="18"/>
      <c r="AX38" s="263"/>
      <c r="AY38" s="264"/>
      <c r="AZ38" s="264"/>
      <c r="BA38" s="265"/>
      <c r="BB38" s="18"/>
      <c r="BC38" s="263"/>
      <c r="BD38" s="264"/>
      <c r="BE38" s="264"/>
      <c r="BF38" s="265"/>
      <c r="BG38" s="18"/>
      <c r="BH38" s="263"/>
      <c r="BI38" s="264"/>
      <c r="BJ38" s="264"/>
      <c r="BK38" s="265"/>
      <c r="BL38" s="18"/>
      <c r="BM38" s="263"/>
      <c r="BN38" s="264"/>
      <c r="BO38" s="264"/>
      <c r="BP38" s="265"/>
      <c r="BQ38" s="18"/>
      <c r="BR38" s="263"/>
      <c r="BS38" s="264"/>
      <c r="BT38" s="264"/>
      <c r="BU38" s="265"/>
      <c r="BV38" s="18"/>
      <c r="BW38" s="263"/>
      <c r="BX38" s="264"/>
      <c r="BY38" s="264"/>
      <c r="BZ38" s="265"/>
      <c r="CA38" s="18"/>
      <c r="CB38" s="263"/>
      <c r="CC38" s="264"/>
      <c r="CD38" s="264"/>
      <c r="CE38" s="265"/>
      <c r="CF38" s="18"/>
      <c r="CG38" s="263"/>
      <c r="CH38" s="264"/>
      <c r="CI38" s="264"/>
      <c r="CJ38" s="265"/>
      <c r="CK38" s="18"/>
      <c r="CL38" s="263"/>
      <c r="CM38" s="264"/>
      <c r="CN38" s="264"/>
      <c r="CO38" s="265"/>
      <c r="CP38" s="18"/>
      <c r="CQ38" s="205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K38" s="18"/>
      <c r="DL38" s="18"/>
      <c r="DM38" s="18"/>
      <c r="DN38" s="18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</row>
    <row r="39" spans="1:130" ht="15" customHeight="1" thickBot="1" x14ac:dyDescent="0.3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272" t="str">
        <f>IF(SUM(Analytics!B2:D2)=8,"PILE LOCKED","")</f>
        <v/>
      </c>
      <c r="AE39" s="272"/>
      <c r="AF39" s="272"/>
      <c r="AG39" s="272"/>
      <c r="AH39" s="167"/>
      <c r="AI39" s="272" t="str">
        <f>IF(SUM(Analytics!B3:D3)=8,"PILE LOCKED","")</f>
        <v/>
      </c>
      <c r="AJ39" s="272"/>
      <c r="AK39" s="272"/>
      <c r="AL39" s="272"/>
      <c r="AM39" s="167"/>
      <c r="AN39" s="272" t="str">
        <f>IF(SUM(Analytics!B4:D4)=8,"PILE LOCKED","")</f>
        <v/>
      </c>
      <c r="AO39" s="272"/>
      <c r="AP39" s="272"/>
      <c r="AQ39" s="272"/>
      <c r="AR39" s="167"/>
      <c r="AS39" s="272" t="str">
        <f>IF(SUM(Analytics!B5:D5)=8,"PILE LOCKED","")</f>
        <v/>
      </c>
      <c r="AT39" s="272"/>
      <c r="AU39" s="272"/>
      <c r="AV39" s="272"/>
      <c r="AW39" s="167"/>
      <c r="AX39" s="272" t="str">
        <f>IF(SUM(Analytics!B6:D6)=8,"PILE LOCKED","")</f>
        <v/>
      </c>
      <c r="AY39" s="272"/>
      <c r="AZ39" s="272"/>
      <c r="BA39" s="272"/>
      <c r="BB39" s="167"/>
      <c r="BC39" s="272" t="str">
        <f>IF(SUM(Analytics!B7:D7)=8,"PILE LOCKED","")</f>
        <v/>
      </c>
      <c r="BD39" s="272"/>
      <c r="BE39" s="272"/>
      <c r="BF39" s="272"/>
      <c r="BG39" s="167"/>
      <c r="BH39" s="272" t="str">
        <f>IF(SUM(Analytics!B8:D8)=8,"PILE LOCKED","")</f>
        <v/>
      </c>
      <c r="BI39" s="272"/>
      <c r="BJ39" s="272"/>
      <c r="BK39" s="272"/>
      <c r="BL39" s="167"/>
      <c r="BM39" s="272" t="str">
        <f>IF(SUM(Analytics!B9:D9)=8,"PILE LOCKED","")</f>
        <v/>
      </c>
      <c r="BN39" s="272"/>
      <c r="BO39" s="272"/>
      <c r="BP39" s="272"/>
      <c r="BQ39" s="167"/>
      <c r="BR39" s="272" t="str">
        <f>IF(SUM(Analytics!B10:D10)=8,"PILE LOCKED","")</f>
        <v>PILE LOCKED</v>
      </c>
      <c r="BS39" s="272"/>
      <c r="BT39" s="272"/>
      <c r="BU39" s="272"/>
      <c r="BV39" s="167"/>
      <c r="BW39" s="272" t="str">
        <f>IF(SUM(Analytics!B11:D11)=8,"PILE LOCKED","")</f>
        <v/>
      </c>
      <c r="BX39" s="272"/>
      <c r="BY39" s="272"/>
      <c r="BZ39" s="272"/>
      <c r="CA39" s="167"/>
      <c r="CB39" s="272" t="str">
        <f>IF(SUM(Analytics!B12:D12)=8,"PILE LOCKED","")</f>
        <v/>
      </c>
      <c r="CC39" s="272"/>
      <c r="CD39" s="272"/>
      <c r="CE39" s="272"/>
      <c r="CF39" s="167"/>
      <c r="CG39" s="272" t="str">
        <f>IF(SUM(Analytics!B13:D13)=8,"PILE LOCKED","")</f>
        <v/>
      </c>
      <c r="CH39" s="272"/>
      <c r="CI39" s="272"/>
      <c r="CJ39" s="272"/>
      <c r="CK39" s="167"/>
      <c r="CL39" s="272" t="str">
        <f>IF(SUM(Analytics!B14:D14)=8,"PILE LOCKED","")</f>
        <v/>
      </c>
      <c r="CM39" s="272"/>
      <c r="CN39" s="272"/>
      <c r="CO39" s="272"/>
      <c r="CP39" s="18"/>
      <c r="CQ39" s="31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</row>
    <row r="40" spans="1:130" ht="15" customHeight="1" thickBot="1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272"/>
      <c r="AE40" s="272"/>
      <c r="AF40" s="272"/>
      <c r="AG40" s="272"/>
      <c r="AH40" s="167"/>
      <c r="AI40" s="272"/>
      <c r="AJ40" s="272"/>
      <c r="AK40" s="272"/>
      <c r="AL40" s="272"/>
      <c r="AM40" s="167"/>
      <c r="AN40" s="272"/>
      <c r="AO40" s="272"/>
      <c r="AP40" s="272"/>
      <c r="AQ40" s="272"/>
      <c r="AR40" s="167"/>
      <c r="AS40" s="272"/>
      <c r="AT40" s="272"/>
      <c r="AU40" s="272"/>
      <c r="AV40" s="272"/>
      <c r="AW40" s="167"/>
      <c r="AX40" s="272"/>
      <c r="AY40" s="272"/>
      <c r="AZ40" s="272"/>
      <c r="BA40" s="272"/>
      <c r="BB40" s="167"/>
      <c r="BC40" s="272"/>
      <c r="BD40" s="272"/>
      <c r="BE40" s="272"/>
      <c r="BF40" s="272"/>
      <c r="BG40" s="167"/>
      <c r="BH40" s="272"/>
      <c r="BI40" s="272"/>
      <c r="BJ40" s="272"/>
      <c r="BK40" s="272"/>
      <c r="BL40" s="167"/>
      <c r="BM40" s="272"/>
      <c r="BN40" s="272"/>
      <c r="BO40" s="272"/>
      <c r="BP40" s="272"/>
      <c r="BQ40" s="167"/>
      <c r="BR40" s="272"/>
      <c r="BS40" s="272"/>
      <c r="BT40" s="272"/>
      <c r="BU40" s="272"/>
      <c r="BV40" s="167"/>
      <c r="BW40" s="272"/>
      <c r="BX40" s="272"/>
      <c r="BY40" s="272"/>
      <c r="BZ40" s="272"/>
      <c r="CA40" s="167"/>
      <c r="CB40" s="272"/>
      <c r="CC40" s="272"/>
      <c r="CD40" s="272"/>
      <c r="CE40" s="272"/>
      <c r="CF40" s="167"/>
      <c r="CG40" s="272"/>
      <c r="CH40" s="272"/>
      <c r="CI40" s="272"/>
      <c r="CJ40" s="272"/>
      <c r="CK40" s="167"/>
      <c r="CL40" s="272"/>
      <c r="CM40" s="272"/>
      <c r="CN40" s="272"/>
      <c r="CO40" s="272"/>
      <c r="CP40" s="18"/>
      <c r="CQ40" s="29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K40" s="18"/>
      <c r="DL40" s="18"/>
      <c r="DM40" s="18"/>
      <c r="DN40" s="18"/>
      <c r="DO40" s="18"/>
      <c r="DP40" s="18"/>
      <c r="DQ40" s="18"/>
      <c r="DR40" s="18"/>
      <c r="DS40" s="18"/>
      <c r="DT40" s="18"/>
      <c r="DU40" s="18"/>
      <c r="DV40" s="18"/>
      <c r="DW40" s="18"/>
      <c r="DX40" s="18"/>
      <c r="DY40" s="18"/>
      <c r="DZ40" s="18"/>
    </row>
    <row r="41" spans="1:130" ht="15" customHeight="1" thickBot="1" x14ac:dyDescent="0.3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29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  <c r="DG41" s="18"/>
      <c r="DH41" s="18"/>
      <c r="DI41" s="18"/>
      <c r="DK41" s="18"/>
      <c r="DL41" s="18"/>
      <c r="DM41" s="18"/>
      <c r="DN41" s="18"/>
      <c r="DO41" s="18"/>
      <c r="DP41" s="18"/>
      <c r="DQ41" s="18"/>
      <c r="DR41" s="18"/>
      <c r="DS41" s="18"/>
      <c r="DT41" s="18"/>
      <c r="DU41" s="18"/>
      <c r="DV41" s="18"/>
      <c r="DW41" s="18"/>
      <c r="DX41" s="18"/>
      <c r="DY41" s="18"/>
      <c r="DZ41" s="18"/>
    </row>
    <row r="42" spans="1:130" ht="15" customHeight="1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</row>
    <row r="43" spans="1:130" ht="15" customHeight="1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18"/>
      <c r="DY43" s="18"/>
      <c r="DZ43" s="18"/>
    </row>
    <row r="44" spans="1:130" ht="15" customHeight="1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</row>
    <row r="45" spans="1:130" ht="15" customHeight="1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K45" s="18"/>
      <c r="DL45" s="18"/>
      <c r="DM45" s="18"/>
      <c r="DN45" s="18"/>
      <c r="DO45" s="18"/>
      <c r="DP45" s="18"/>
      <c r="DQ45" s="18"/>
      <c r="DR45" s="18"/>
      <c r="DS45" s="18"/>
      <c r="DT45" s="18"/>
      <c r="DU45" s="18"/>
      <c r="DV45" s="18"/>
      <c r="DW45" s="18"/>
      <c r="DX45" s="18"/>
      <c r="DY45" s="18"/>
      <c r="DZ45" s="18"/>
    </row>
    <row r="46" spans="1:130" ht="15" customHeight="1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18"/>
      <c r="DZ46" s="18"/>
    </row>
    <row r="47" spans="1:130" ht="15" customHeight="1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K47" s="18"/>
      <c r="DL47" s="18"/>
      <c r="DM47" s="18"/>
      <c r="DN47" s="18"/>
      <c r="DO47" s="18"/>
      <c r="DP47" s="18"/>
      <c r="DQ47" s="18"/>
      <c r="DR47" s="18"/>
      <c r="DS47" s="18"/>
      <c r="DT47" s="18"/>
      <c r="DU47" s="18"/>
      <c r="DV47" s="18"/>
      <c r="DW47" s="18"/>
      <c r="DX47" s="18"/>
      <c r="DY47" s="18"/>
      <c r="DZ47" s="18"/>
    </row>
    <row r="48" spans="1:130" ht="15" customHeight="1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</row>
    <row r="49" spans="1:130" ht="15" customHeight="1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</row>
    <row r="50" spans="1:130" ht="15" customHeight="1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</row>
    <row r="51" spans="1:130" ht="15" customHeight="1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</row>
    <row r="52" spans="1:130" ht="15" customHeight="1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</row>
    <row r="53" spans="1:130" ht="15" customHeight="1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</row>
    <row r="54" spans="1:130" ht="15" customHeight="1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</row>
    <row r="55" spans="1:130" ht="15" customHeight="1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</row>
    <row r="56" spans="1:130" ht="15" customHeight="1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</row>
    <row r="57" spans="1:130" ht="15" customHeight="1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</row>
    <row r="58" spans="1:130" ht="15" customHeight="1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</row>
    <row r="59" spans="1:130" ht="15" customHeight="1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</row>
    <row r="60" spans="1:130" ht="15" customHeight="1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</row>
    <row r="61" spans="1:130" ht="15" customHeight="1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</row>
    <row r="62" spans="1:130" ht="15" customHeight="1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</row>
    <row r="63" spans="1:130" ht="15" customHeight="1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</row>
    <row r="64" spans="1:130" ht="15" customHeight="1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</row>
    <row r="65" spans="1:130" ht="15" customHeight="1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</row>
    <row r="66" spans="1:130" ht="15" customHeight="1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</row>
    <row r="67" spans="1:130" ht="15" customHeight="1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</row>
    <row r="68" spans="1:130" ht="15" customHeight="1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</row>
    <row r="69" spans="1:130" ht="15" customHeight="1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</row>
    <row r="70" spans="1:130" ht="15" customHeight="1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</row>
    <row r="71" spans="1:130" ht="15" customHeight="1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</row>
    <row r="72" spans="1:130" ht="15" customHeight="1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</row>
    <row r="73" spans="1:130" ht="15" customHeight="1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</row>
    <row r="74" spans="1:130" ht="15" customHeight="1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</row>
    <row r="75" spans="1:130" ht="15" customHeight="1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</row>
    <row r="76" spans="1:130" ht="15" customHeight="1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</row>
    <row r="77" spans="1:130" ht="15" customHeight="1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</row>
    <row r="78" spans="1:130" ht="15" customHeight="1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</row>
    <row r="79" spans="1:130" ht="15" customHeight="1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</row>
    <row r="80" spans="1:130" ht="15" customHeight="1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</row>
    <row r="81" spans="1:130" ht="15" customHeight="1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</row>
    <row r="82" spans="1:130" ht="15" customHeight="1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</row>
    <row r="83" spans="1:130" ht="15" customHeight="1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</row>
    <row r="84" spans="1:130" ht="15" customHeight="1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K84" s="18"/>
      <c r="DL84" s="18"/>
      <c r="DM84" s="18"/>
      <c r="DN84" s="18"/>
      <c r="DO84" s="18"/>
      <c r="DP84" s="18"/>
      <c r="DQ84" s="18"/>
      <c r="DR84" s="18"/>
      <c r="DS84" s="18"/>
      <c r="DT84" s="18"/>
      <c r="DU84" s="18"/>
      <c r="DV84" s="18"/>
      <c r="DW84" s="18"/>
      <c r="DX84" s="18"/>
      <c r="DY84" s="18"/>
      <c r="DZ84" s="18"/>
    </row>
    <row r="85" spans="1:130" ht="15" customHeight="1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K85" s="18"/>
      <c r="DL85" s="18"/>
      <c r="DM85" s="18"/>
      <c r="DN85" s="18"/>
      <c r="DO85" s="18"/>
      <c r="DP85" s="18"/>
      <c r="DQ85" s="18"/>
      <c r="DR85" s="18"/>
      <c r="DS85" s="18"/>
      <c r="DT85" s="18"/>
      <c r="DU85" s="18"/>
      <c r="DV85" s="18"/>
      <c r="DW85" s="18"/>
      <c r="DX85" s="18"/>
      <c r="DY85" s="18"/>
      <c r="DZ85" s="18"/>
    </row>
    <row r="86" spans="1:130" ht="15" customHeight="1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  <c r="DG86" s="18"/>
      <c r="DH86" s="18"/>
      <c r="DI86" s="18"/>
      <c r="DK86" s="18"/>
      <c r="DL86" s="18"/>
      <c r="DM86" s="18"/>
      <c r="DN86" s="18"/>
      <c r="DO86" s="18"/>
      <c r="DP86" s="18"/>
      <c r="DQ86" s="18"/>
      <c r="DR86" s="18"/>
      <c r="DS86" s="18"/>
      <c r="DT86" s="18"/>
      <c r="DU86" s="18"/>
      <c r="DV86" s="18"/>
      <c r="DW86" s="18"/>
      <c r="DX86" s="18"/>
      <c r="DY86" s="18"/>
      <c r="DZ86" s="18"/>
    </row>
    <row r="87" spans="1:130" ht="15" customHeight="1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</row>
    <row r="88" spans="1:130" ht="15" customHeight="1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</row>
    <row r="89" spans="1:130" ht="15" customHeight="1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  <c r="DG89" s="18"/>
      <c r="DH89" s="18"/>
      <c r="DI89" s="18"/>
      <c r="DK89" s="18"/>
      <c r="DL89" s="18"/>
      <c r="DM89" s="18"/>
      <c r="DN89" s="18"/>
      <c r="DO89" s="18"/>
      <c r="DP89" s="18"/>
      <c r="DQ89" s="18"/>
      <c r="DR89" s="18"/>
      <c r="DS89" s="18"/>
      <c r="DT89" s="18"/>
      <c r="DU89" s="18"/>
      <c r="DV89" s="18"/>
      <c r="DW89" s="18"/>
      <c r="DX89" s="18"/>
      <c r="DY89" s="18"/>
      <c r="DZ89" s="18"/>
    </row>
    <row r="90" spans="1:130" ht="15" customHeight="1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</row>
    <row r="91" spans="1:130" ht="15" customHeight="1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K91" s="18"/>
      <c r="DL91" s="18"/>
      <c r="DM91" s="18"/>
      <c r="DN91" s="18"/>
      <c r="DO91" s="18"/>
      <c r="DP91" s="18"/>
      <c r="DQ91" s="18"/>
      <c r="DR91" s="18"/>
      <c r="DS91" s="18"/>
      <c r="DT91" s="18"/>
      <c r="DU91" s="18"/>
      <c r="DV91" s="18"/>
      <c r="DW91" s="18"/>
      <c r="DX91" s="18"/>
      <c r="DY91" s="18"/>
      <c r="DZ91" s="18"/>
    </row>
    <row r="92" spans="1:130" ht="15" customHeight="1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</row>
    <row r="93" spans="1:130" ht="15" customHeight="1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18"/>
      <c r="DV93" s="18"/>
      <c r="DW93" s="18"/>
      <c r="DX93" s="18"/>
      <c r="DY93" s="18"/>
      <c r="DZ93" s="18"/>
    </row>
    <row r="94" spans="1:130" ht="15" customHeight="1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  <c r="DG94" s="18"/>
      <c r="DH94" s="18"/>
      <c r="DI94" s="18"/>
      <c r="DK94" s="18"/>
      <c r="DL94" s="18"/>
      <c r="DM94" s="18"/>
      <c r="DN94" s="18"/>
      <c r="DO94" s="18"/>
      <c r="DP94" s="18"/>
      <c r="DQ94" s="18"/>
      <c r="DR94" s="18"/>
      <c r="DS94" s="18"/>
      <c r="DT94" s="18"/>
      <c r="DU94" s="18"/>
      <c r="DV94" s="18"/>
      <c r="DW94" s="18"/>
      <c r="DX94" s="18"/>
      <c r="DY94" s="18"/>
      <c r="DZ94" s="18"/>
    </row>
    <row r="95" spans="1:130" ht="15" customHeight="1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K95" s="18"/>
      <c r="DL95" s="18"/>
      <c r="DM95" s="18"/>
      <c r="DN95" s="18"/>
      <c r="DO95" s="18"/>
      <c r="DP95" s="18"/>
      <c r="DQ95" s="18"/>
      <c r="DR95" s="18"/>
      <c r="DS95" s="18"/>
      <c r="DT95" s="18"/>
      <c r="DU95" s="18"/>
      <c r="DV95" s="18"/>
      <c r="DW95" s="18"/>
      <c r="DX95" s="18"/>
      <c r="DY95" s="18"/>
      <c r="DZ95" s="18"/>
    </row>
    <row r="96" spans="1:130" ht="15" customHeight="1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K96" s="18"/>
      <c r="DL96" s="18"/>
      <c r="DM96" s="18"/>
      <c r="DN96" s="18"/>
      <c r="DO96" s="18"/>
      <c r="DP96" s="18"/>
      <c r="DQ96" s="18"/>
      <c r="DR96" s="18"/>
      <c r="DS96" s="18"/>
      <c r="DT96" s="18"/>
      <c r="DU96" s="18"/>
      <c r="DV96" s="18"/>
      <c r="DW96" s="18"/>
      <c r="DX96" s="18"/>
      <c r="DY96" s="18"/>
      <c r="DZ96" s="18"/>
    </row>
    <row r="97" spans="1:130" ht="15" customHeight="1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  <c r="DG97" s="18"/>
      <c r="DH97" s="18"/>
      <c r="DI97" s="18"/>
      <c r="DK97" s="18"/>
      <c r="DL97" s="18"/>
      <c r="DM97" s="18"/>
      <c r="DN97" s="18"/>
      <c r="DO97" s="18"/>
      <c r="DP97" s="18"/>
      <c r="DQ97" s="18"/>
      <c r="DR97" s="18"/>
      <c r="DS97" s="18"/>
      <c r="DT97" s="18"/>
      <c r="DU97" s="18"/>
      <c r="DV97" s="18"/>
      <c r="DW97" s="18"/>
      <c r="DX97" s="18"/>
      <c r="DY97" s="18"/>
      <c r="DZ97" s="18"/>
    </row>
    <row r="98" spans="1:130" ht="15" customHeight="1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K98" s="18"/>
      <c r="DL98" s="18"/>
      <c r="DM98" s="18"/>
      <c r="DN98" s="18"/>
      <c r="DO98" s="18"/>
      <c r="DP98" s="18"/>
      <c r="DQ98" s="18"/>
      <c r="DR98" s="18"/>
      <c r="DS98" s="18"/>
      <c r="DT98" s="18"/>
      <c r="DU98" s="18"/>
      <c r="DV98" s="18"/>
      <c r="DW98" s="18"/>
      <c r="DX98" s="18"/>
      <c r="DY98" s="18"/>
      <c r="DZ98" s="18"/>
    </row>
    <row r="99" spans="1:130" ht="15" customHeight="1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K99" s="18"/>
      <c r="DL99" s="18"/>
      <c r="DM99" s="18"/>
      <c r="DN99" s="18"/>
      <c r="DO99" s="18"/>
      <c r="DP99" s="18"/>
      <c r="DQ99" s="18"/>
      <c r="DR99" s="18"/>
      <c r="DS99" s="18"/>
      <c r="DT99" s="18"/>
      <c r="DU99" s="18"/>
      <c r="DV99" s="18"/>
      <c r="DW99" s="18"/>
      <c r="DX99" s="18"/>
      <c r="DY99" s="18"/>
      <c r="DZ99" s="18"/>
    </row>
    <row r="100" spans="1:130" ht="15" customHeight="1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  <c r="DG100" s="18"/>
      <c r="DH100" s="18"/>
      <c r="DI100" s="18"/>
      <c r="DK100" s="18"/>
      <c r="DL100" s="18"/>
      <c r="DM100" s="18"/>
      <c r="DN100" s="18"/>
      <c r="DO100" s="18"/>
      <c r="DP100" s="18"/>
      <c r="DQ100" s="18"/>
      <c r="DR100" s="18"/>
      <c r="DS100" s="18"/>
      <c r="DT100" s="18"/>
      <c r="DU100" s="18"/>
      <c r="DV100" s="18"/>
      <c r="DW100" s="18"/>
      <c r="DX100" s="18"/>
      <c r="DY100" s="18"/>
      <c r="DZ100" s="18"/>
    </row>
    <row r="101" spans="1:130" ht="15" customHeight="1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  <c r="DG101" s="18"/>
      <c r="DH101" s="18"/>
      <c r="DI101" s="18"/>
      <c r="DK101" s="18"/>
      <c r="DL101" s="18"/>
      <c r="DM101" s="18"/>
      <c r="DN101" s="18"/>
      <c r="DO101" s="18"/>
      <c r="DP101" s="18"/>
      <c r="DQ101" s="18"/>
      <c r="DR101" s="18"/>
      <c r="DS101" s="18"/>
      <c r="DT101" s="18"/>
      <c r="DU101" s="18"/>
      <c r="DV101" s="18"/>
      <c r="DW101" s="18"/>
      <c r="DX101" s="18"/>
      <c r="DY101" s="18"/>
      <c r="DZ101" s="18"/>
    </row>
    <row r="102" spans="1:130" ht="15" customHeight="1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</row>
    <row r="103" spans="1:130" ht="15" customHeight="1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  <c r="DG103" s="18"/>
      <c r="DH103" s="18"/>
      <c r="DI103" s="18"/>
      <c r="DK103" s="18"/>
      <c r="DL103" s="18"/>
      <c r="DM103" s="18"/>
      <c r="DN103" s="18"/>
      <c r="DO103" s="18"/>
      <c r="DP103" s="18"/>
      <c r="DQ103" s="18"/>
      <c r="DR103" s="18"/>
      <c r="DS103" s="18"/>
      <c r="DT103" s="18"/>
      <c r="DU103" s="18"/>
      <c r="DV103" s="18"/>
      <c r="DW103" s="18"/>
      <c r="DX103" s="18"/>
      <c r="DY103" s="18"/>
      <c r="DZ103" s="18"/>
    </row>
    <row r="104" spans="1:130" ht="15" customHeight="1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K104" s="18"/>
      <c r="DL104" s="18"/>
      <c r="DM104" s="18"/>
      <c r="DN104" s="18"/>
      <c r="DO104" s="18"/>
      <c r="DP104" s="18"/>
      <c r="DQ104" s="18"/>
      <c r="DR104" s="18"/>
      <c r="DS104" s="18"/>
      <c r="DT104" s="18"/>
      <c r="DU104" s="18"/>
      <c r="DV104" s="18"/>
      <c r="DW104" s="18"/>
      <c r="DX104" s="18"/>
      <c r="DY104" s="18"/>
      <c r="DZ104" s="18"/>
    </row>
    <row r="105" spans="1:130" ht="15" customHeight="1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K105" s="18"/>
      <c r="DL105" s="18"/>
      <c r="DM105" s="18"/>
      <c r="DN105" s="18"/>
      <c r="DO105" s="18"/>
      <c r="DP105" s="18"/>
      <c r="DQ105" s="18"/>
      <c r="DR105" s="18"/>
      <c r="DS105" s="18"/>
      <c r="DT105" s="18"/>
      <c r="DU105" s="18"/>
      <c r="DV105" s="18"/>
      <c r="DW105" s="18"/>
      <c r="DX105" s="18"/>
      <c r="DY105" s="18"/>
      <c r="DZ105" s="18"/>
    </row>
  </sheetData>
  <sheetProtection selectLockedCells="1" selectUnlockedCells="1"/>
  <mergeCells count="297">
    <mergeCell ref="BW39:BZ40"/>
    <mergeCell ref="CB39:CE40"/>
    <mergeCell ref="CG39:CJ40"/>
    <mergeCell ref="CL39:CO40"/>
    <mergeCell ref="CL37:CO38"/>
    <mergeCell ref="AD39:AG40"/>
    <mergeCell ref="AI39:AL40"/>
    <mergeCell ref="AN39:AQ40"/>
    <mergeCell ref="AS39:AV40"/>
    <mergeCell ref="AX39:BA40"/>
    <mergeCell ref="BC39:BF40"/>
    <mergeCell ref="BH39:BK40"/>
    <mergeCell ref="BM39:BP40"/>
    <mergeCell ref="BR39:BU40"/>
    <mergeCell ref="BH37:BK38"/>
    <mergeCell ref="BM37:BP38"/>
    <mergeCell ref="BR37:BU38"/>
    <mergeCell ref="BW37:BZ38"/>
    <mergeCell ref="CB37:CE38"/>
    <mergeCell ref="CG37:CJ38"/>
    <mergeCell ref="AD37:AG38"/>
    <mergeCell ref="AI37:AL38"/>
    <mergeCell ref="AN37:AQ38"/>
    <mergeCell ref="AS37:AV38"/>
    <mergeCell ref="AX37:BA38"/>
    <mergeCell ref="BC37:BF38"/>
    <mergeCell ref="BW33:BZ34"/>
    <mergeCell ref="CB33:CE34"/>
    <mergeCell ref="CG33:CJ34"/>
    <mergeCell ref="CL33:CO34"/>
    <mergeCell ref="M34:N35"/>
    <mergeCell ref="V35:W36"/>
    <mergeCell ref="X35:AA36"/>
    <mergeCell ref="AS33:AV34"/>
    <mergeCell ref="AX33:BA34"/>
    <mergeCell ref="BC33:BF34"/>
    <mergeCell ref="BH33:BK34"/>
    <mergeCell ref="BM33:BP34"/>
    <mergeCell ref="BR33:BU34"/>
    <mergeCell ref="CL31:CO32"/>
    <mergeCell ref="V33:W34"/>
    <mergeCell ref="X33:AA34"/>
    <mergeCell ref="AD33:AG34"/>
    <mergeCell ref="AI33:AL34"/>
    <mergeCell ref="AN33:AQ34"/>
    <mergeCell ref="AN31:AQ32"/>
    <mergeCell ref="AS31:AV32"/>
    <mergeCell ref="AX31:BA32"/>
    <mergeCell ref="BC31:BF32"/>
    <mergeCell ref="BH31:BK32"/>
    <mergeCell ref="BM31:BP32"/>
    <mergeCell ref="BH27:BK28"/>
    <mergeCell ref="BM27:BP28"/>
    <mergeCell ref="BR27:BU28"/>
    <mergeCell ref="BW27:BZ28"/>
    <mergeCell ref="BW29:BZ30"/>
    <mergeCell ref="CB29:CE30"/>
    <mergeCell ref="CG29:CJ30"/>
    <mergeCell ref="CL29:CO30"/>
    <mergeCell ref="I30:J31"/>
    <mergeCell ref="N30:O31"/>
    <mergeCell ref="V31:W32"/>
    <mergeCell ref="X31:AA32"/>
    <mergeCell ref="AD31:AG32"/>
    <mergeCell ref="AI31:AL32"/>
    <mergeCell ref="AS29:AV30"/>
    <mergeCell ref="AX29:BA30"/>
    <mergeCell ref="BC29:BF30"/>
    <mergeCell ref="BH29:BK30"/>
    <mergeCell ref="BM29:BP30"/>
    <mergeCell ref="BR29:BU30"/>
    <mergeCell ref="BR31:BU32"/>
    <mergeCell ref="BW31:BZ32"/>
    <mergeCell ref="CB31:CE32"/>
    <mergeCell ref="CG31:CJ32"/>
    <mergeCell ref="I28:J29"/>
    <mergeCell ref="N28:O29"/>
    <mergeCell ref="V29:W30"/>
    <mergeCell ref="X29:AA30"/>
    <mergeCell ref="AD29:AG30"/>
    <mergeCell ref="AI29:AL30"/>
    <mergeCell ref="AN29:AQ30"/>
    <mergeCell ref="AX27:BA28"/>
    <mergeCell ref="BC27:BF28"/>
    <mergeCell ref="BH23:BK24"/>
    <mergeCell ref="BM23:BP24"/>
    <mergeCell ref="BR23:BU24"/>
    <mergeCell ref="BW23:BZ24"/>
    <mergeCell ref="CB23:CE24"/>
    <mergeCell ref="CL25:CO26"/>
    <mergeCell ref="D26:E31"/>
    <mergeCell ref="G26:J27"/>
    <mergeCell ref="L26:O27"/>
    <mergeCell ref="V27:W28"/>
    <mergeCell ref="X27:AA28"/>
    <mergeCell ref="AD27:AG28"/>
    <mergeCell ref="AI27:AL28"/>
    <mergeCell ref="AN27:AQ28"/>
    <mergeCell ref="AS27:AV28"/>
    <mergeCell ref="BH25:BK26"/>
    <mergeCell ref="BM25:BP26"/>
    <mergeCell ref="BR25:BU26"/>
    <mergeCell ref="BW25:BZ26"/>
    <mergeCell ref="CB25:CE26"/>
    <mergeCell ref="CG25:CJ26"/>
    <mergeCell ref="CB27:CE28"/>
    <mergeCell ref="CG27:CJ28"/>
    <mergeCell ref="CL27:CO28"/>
    <mergeCell ref="V25:W26"/>
    <mergeCell ref="X25:AA26"/>
    <mergeCell ref="AD25:AG26"/>
    <mergeCell ref="AI25:AL26"/>
    <mergeCell ref="AN25:AQ26"/>
    <mergeCell ref="AS25:AV26"/>
    <mergeCell ref="AX25:BA26"/>
    <mergeCell ref="BC25:BF26"/>
    <mergeCell ref="BC23:BF24"/>
    <mergeCell ref="CL21:CO22"/>
    <mergeCell ref="I23:J24"/>
    <mergeCell ref="N23:O24"/>
    <mergeCell ref="V23:W24"/>
    <mergeCell ref="X23:AA24"/>
    <mergeCell ref="AD23:AG24"/>
    <mergeCell ref="AI23:AL24"/>
    <mergeCell ref="AN23:AQ24"/>
    <mergeCell ref="AS23:AV24"/>
    <mergeCell ref="AX23:BA24"/>
    <mergeCell ref="BH21:BK22"/>
    <mergeCell ref="BM21:BP22"/>
    <mergeCell ref="BR21:BU22"/>
    <mergeCell ref="BW21:BZ22"/>
    <mergeCell ref="CB21:CE22"/>
    <mergeCell ref="CG21:CJ22"/>
    <mergeCell ref="AD21:AG22"/>
    <mergeCell ref="AI21:AL22"/>
    <mergeCell ref="AN21:AQ22"/>
    <mergeCell ref="AS21:AV22"/>
    <mergeCell ref="AX21:BA22"/>
    <mergeCell ref="BC21:BF22"/>
    <mergeCell ref="CG23:CJ24"/>
    <mergeCell ref="CL23:CO24"/>
    <mergeCell ref="BM19:BP20"/>
    <mergeCell ref="BR19:BU20"/>
    <mergeCell ref="BW19:BZ20"/>
    <mergeCell ref="CB19:CE20"/>
    <mergeCell ref="CG19:CJ20"/>
    <mergeCell ref="CL19:CO20"/>
    <mergeCell ref="AI19:AL20"/>
    <mergeCell ref="AN19:AQ20"/>
    <mergeCell ref="AS19:AV20"/>
    <mergeCell ref="AX19:BA20"/>
    <mergeCell ref="BC19:BF20"/>
    <mergeCell ref="BH19:BK20"/>
    <mergeCell ref="D19:E24"/>
    <mergeCell ref="G19:J20"/>
    <mergeCell ref="L19:O20"/>
    <mergeCell ref="V19:W20"/>
    <mergeCell ref="X19:AA20"/>
    <mergeCell ref="AD19:AG20"/>
    <mergeCell ref="I21:J22"/>
    <mergeCell ref="N21:O22"/>
    <mergeCell ref="V21:W22"/>
    <mergeCell ref="X21:AA22"/>
    <mergeCell ref="BM17:BP18"/>
    <mergeCell ref="BR17:BU18"/>
    <mergeCell ref="BW17:BZ18"/>
    <mergeCell ref="CB17:CE18"/>
    <mergeCell ref="CG17:CJ18"/>
    <mergeCell ref="CL17:CO18"/>
    <mergeCell ref="AI17:AL18"/>
    <mergeCell ref="AN17:AQ18"/>
    <mergeCell ref="AS17:AV18"/>
    <mergeCell ref="AX17:BA18"/>
    <mergeCell ref="BC17:BF18"/>
    <mergeCell ref="BH17:BK18"/>
    <mergeCell ref="BR15:BU16"/>
    <mergeCell ref="BW15:BZ16"/>
    <mergeCell ref="CB15:CE16"/>
    <mergeCell ref="CG15:CJ16"/>
    <mergeCell ref="CL15:CO16"/>
    <mergeCell ref="I16:J17"/>
    <mergeCell ref="N16:O17"/>
    <mergeCell ref="V17:W18"/>
    <mergeCell ref="X17:AA18"/>
    <mergeCell ref="AD17:AG18"/>
    <mergeCell ref="AN15:AQ16"/>
    <mergeCell ref="AS15:AV16"/>
    <mergeCell ref="AX15:BA16"/>
    <mergeCell ref="BC15:BF16"/>
    <mergeCell ref="BH15:BK16"/>
    <mergeCell ref="BM15:BP16"/>
    <mergeCell ref="I14:J15"/>
    <mergeCell ref="N14:O15"/>
    <mergeCell ref="V15:W16"/>
    <mergeCell ref="X15:AA16"/>
    <mergeCell ref="AD15:AG16"/>
    <mergeCell ref="AI15:AL16"/>
    <mergeCell ref="BM13:BP14"/>
    <mergeCell ref="BR13:BU14"/>
    <mergeCell ref="BW13:BZ14"/>
    <mergeCell ref="CB13:CE14"/>
    <mergeCell ref="CG13:CJ14"/>
    <mergeCell ref="CL13:CO14"/>
    <mergeCell ref="AI13:AL14"/>
    <mergeCell ref="AN13:AQ14"/>
    <mergeCell ref="AS13:AV14"/>
    <mergeCell ref="AX13:BA14"/>
    <mergeCell ref="BC13:BF14"/>
    <mergeCell ref="BH13:BK14"/>
    <mergeCell ref="D12:E17"/>
    <mergeCell ref="G12:J13"/>
    <mergeCell ref="L12:O13"/>
    <mergeCell ref="V13:W14"/>
    <mergeCell ref="X13:AA14"/>
    <mergeCell ref="AD13:AG14"/>
    <mergeCell ref="AS11:AV12"/>
    <mergeCell ref="AX11:BA12"/>
    <mergeCell ref="BC11:BF12"/>
    <mergeCell ref="CB9:CE10"/>
    <mergeCell ref="CG9:CJ10"/>
    <mergeCell ref="CL9:CO10"/>
    <mergeCell ref="V11:W12"/>
    <mergeCell ref="X11:AA12"/>
    <mergeCell ref="AD11:AG12"/>
    <mergeCell ref="AI11:AL12"/>
    <mergeCell ref="AN11:AQ12"/>
    <mergeCell ref="AN9:AQ10"/>
    <mergeCell ref="AS9:AV10"/>
    <mergeCell ref="AX9:BA10"/>
    <mergeCell ref="BC9:BF10"/>
    <mergeCell ref="BH9:BK10"/>
    <mergeCell ref="BM9:BP10"/>
    <mergeCell ref="BW11:BZ12"/>
    <mergeCell ref="CB11:CE12"/>
    <mergeCell ref="CG11:CJ12"/>
    <mergeCell ref="CL11:CO12"/>
    <mergeCell ref="BH11:BK12"/>
    <mergeCell ref="BM11:BP12"/>
    <mergeCell ref="BR11:BU12"/>
    <mergeCell ref="I9:J10"/>
    <mergeCell ref="N9:O10"/>
    <mergeCell ref="V9:W10"/>
    <mergeCell ref="X9:AA10"/>
    <mergeCell ref="AD9:AG10"/>
    <mergeCell ref="AI9:AL10"/>
    <mergeCell ref="BM7:BP8"/>
    <mergeCell ref="BR7:BU8"/>
    <mergeCell ref="BW7:BZ8"/>
    <mergeCell ref="BR9:BU10"/>
    <mergeCell ref="BW9:BZ10"/>
    <mergeCell ref="CB5:CE6"/>
    <mergeCell ref="CG5:CJ6"/>
    <mergeCell ref="CL5:CO6"/>
    <mergeCell ref="I7:J8"/>
    <mergeCell ref="N7:O8"/>
    <mergeCell ref="V7:W8"/>
    <mergeCell ref="X7:AA8"/>
    <mergeCell ref="AD7:AG8"/>
    <mergeCell ref="AN5:AQ6"/>
    <mergeCell ref="AS5:AV6"/>
    <mergeCell ref="AX5:BA6"/>
    <mergeCell ref="BC5:BF6"/>
    <mergeCell ref="BH5:BK6"/>
    <mergeCell ref="BM5:BP6"/>
    <mergeCell ref="CB7:CE8"/>
    <mergeCell ref="CG7:CJ8"/>
    <mergeCell ref="CL7:CO8"/>
    <mergeCell ref="AI7:AL8"/>
    <mergeCell ref="AN7:AQ8"/>
    <mergeCell ref="AS7:AV8"/>
    <mergeCell ref="AX7:BA8"/>
    <mergeCell ref="BC7:BF8"/>
    <mergeCell ref="BH7:BK8"/>
    <mergeCell ref="CB2:CE3"/>
    <mergeCell ref="CG2:CJ3"/>
    <mergeCell ref="CL2:CO3"/>
    <mergeCell ref="D5:E10"/>
    <mergeCell ref="G5:J6"/>
    <mergeCell ref="L5:O6"/>
    <mergeCell ref="V5:W6"/>
    <mergeCell ref="X5:AA6"/>
    <mergeCell ref="AD5:AG6"/>
    <mergeCell ref="AI5:AL6"/>
    <mergeCell ref="AX2:BA3"/>
    <mergeCell ref="BC2:BF3"/>
    <mergeCell ref="BH2:BK3"/>
    <mergeCell ref="BM2:BP3"/>
    <mergeCell ref="BR2:BU3"/>
    <mergeCell ref="BW2:BZ3"/>
    <mergeCell ref="G2:J3"/>
    <mergeCell ref="L2:O3"/>
    <mergeCell ref="AD2:AG3"/>
    <mergeCell ref="AI2:AL3"/>
    <mergeCell ref="AN2:AQ3"/>
    <mergeCell ref="AS2:AV3"/>
    <mergeCell ref="BR5:BU6"/>
    <mergeCell ref="BW5:BZ6"/>
  </mergeCells>
  <phoneticPr fontId="21" type="noConversion"/>
  <conditionalFormatting sqref="AD5:AG34 AI5:AL35 AN5:AQ34 AS5:AV34 AX5:BA34 BC5:BF34 BH5:BK34 BM5:BP34 BR5:BU34 BW5:BZ34 CB5:CE34 CG5:CJ34 CL5:CP34 X5:AA5 V5">
    <cfRule type="containsText" dxfId="69" priority="46" operator="containsText" text="♦">
      <formula>NOT(ISERROR(SEARCH("♦",V5)))</formula>
    </cfRule>
    <cfRule type="containsText" dxfId="68" priority="47" operator="containsText" text="♥">
      <formula>NOT(ISERROR(SEARCH("♥",V5)))</formula>
    </cfRule>
  </conditionalFormatting>
  <conditionalFormatting sqref="V7 V9 V11 V13 V15 V17 V19 V21 V23 V25 V27 V29 V31 X6:AA36 V33 V35">
    <cfRule type="containsText" dxfId="67" priority="44" operator="containsText" text="♦">
      <formula>NOT(ISERROR(SEARCH("♦",V6)))</formula>
    </cfRule>
    <cfRule type="containsText" dxfId="66" priority="45" operator="containsText" text="♥">
      <formula>NOT(ISERROR(SEARCH("♥",V6)))</formula>
    </cfRule>
  </conditionalFormatting>
  <conditionalFormatting sqref="V5:W36">
    <cfRule type="cellIs" dxfId="65" priority="43" operator="equal">
      <formula>TRUE</formula>
    </cfRule>
  </conditionalFormatting>
  <conditionalFormatting sqref="AD37">
    <cfRule type="containsText" dxfId="64" priority="41" operator="containsText" text="♦">
      <formula>NOT(ISERROR(SEARCH("♦",AD37)))</formula>
    </cfRule>
    <cfRule type="containsText" dxfId="63" priority="42" operator="containsText" text="♥">
      <formula>NOT(ISERROR(SEARCH("♥",AD37)))</formula>
    </cfRule>
  </conditionalFormatting>
  <conditionalFormatting sqref="AD37">
    <cfRule type="cellIs" dxfId="62" priority="40" operator="equal">
      <formula>TRUE</formula>
    </cfRule>
  </conditionalFormatting>
  <conditionalFormatting sqref="AI37">
    <cfRule type="containsText" dxfId="61" priority="38" operator="containsText" text="♦">
      <formula>NOT(ISERROR(SEARCH("♦",AI37)))</formula>
    </cfRule>
    <cfRule type="containsText" dxfId="60" priority="39" operator="containsText" text="♥">
      <formula>NOT(ISERROR(SEARCH("♥",AI37)))</formula>
    </cfRule>
  </conditionalFormatting>
  <conditionalFormatting sqref="AI37">
    <cfRule type="cellIs" dxfId="59" priority="37" operator="equal">
      <formula>TRUE</formula>
    </cfRule>
  </conditionalFormatting>
  <conditionalFormatting sqref="AN37">
    <cfRule type="containsText" dxfId="58" priority="35" operator="containsText" text="♦">
      <formula>NOT(ISERROR(SEARCH("♦",AN37)))</formula>
    </cfRule>
    <cfRule type="containsText" dxfId="57" priority="36" operator="containsText" text="♥">
      <formula>NOT(ISERROR(SEARCH("♥",AN37)))</formula>
    </cfRule>
  </conditionalFormatting>
  <conditionalFormatting sqref="AN37">
    <cfRule type="cellIs" dxfId="56" priority="34" operator="equal">
      <formula>TRUE</formula>
    </cfRule>
  </conditionalFormatting>
  <conditionalFormatting sqref="AS37">
    <cfRule type="containsText" dxfId="55" priority="32" operator="containsText" text="♦">
      <formula>NOT(ISERROR(SEARCH("♦",AS37)))</formula>
    </cfRule>
    <cfRule type="containsText" dxfId="54" priority="33" operator="containsText" text="♥">
      <formula>NOT(ISERROR(SEARCH("♥",AS37)))</formula>
    </cfRule>
  </conditionalFormatting>
  <conditionalFormatting sqref="AS37">
    <cfRule type="cellIs" dxfId="53" priority="31" operator="equal">
      <formula>TRUE</formula>
    </cfRule>
  </conditionalFormatting>
  <conditionalFormatting sqref="AX37">
    <cfRule type="containsText" dxfId="52" priority="29" operator="containsText" text="♦">
      <formula>NOT(ISERROR(SEARCH("♦",AX37)))</formula>
    </cfRule>
    <cfRule type="containsText" dxfId="51" priority="30" operator="containsText" text="♥">
      <formula>NOT(ISERROR(SEARCH("♥",AX37)))</formula>
    </cfRule>
  </conditionalFormatting>
  <conditionalFormatting sqref="AX37">
    <cfRule type="cellIs" dxfId="50" priority="28" operator="equal">
      <formula>TRUE</formula>
    </cfRule>
  </conditionalFormatting>
  <conditionalFormatting sqref="BC37">
    <cfRule type="containsText" dxfId="49" priority="26" operator="containsText" text="♦">
      <formula>NOT(ISERROR(SEARCH("♦",BC37)))</formula>
    </cfRule>
    <cfRule type="containsText" dxfId="48" priority="27" operator="containsText" text="♥">
      <formula>NOT(ISERROR(SEARCH("♥",BC37)))</formula>
    </cfRule>
  </conditionalFormatting>
  <conditionalFormatting sqref="BC37">
    <cfRule type="cellIs" dxfId="47" priority="25" operator="equal">
      <formula>TRUE</formula>
    </cfRule>
  </conditionalFormatting>
  <conditionalFormatting sqref="BH37">
    <cfRule type="containsText" dxfId="46" priority="23" operator="containsText" text="♦">
      <formula>NOT(ISERROR(SEARCH("♦",BH37)))</formula>
    </cfRule>
    <cfRule type="containsText" dxfId="45" priority="24" operator="containsText" text="♥">
      <formula>NOT(ISERROR(SEARCH("♥",BH37)))</formula>
    </cfRule>
  </conditionalFormatting>
  <conditionalFormatting sqref="BH37">
    <cfRule type="cellIs" dxfId="44" priority="22" operator="equal">
      <formula>TRUE</formula>
    </cfRule>
  </conditionalFormatting>
  <conditionalFormatting sqref="BM37">
    <cfRule type="containsText" dxfId="43" priority="20" operator="containsText" text="♦">
      <formula>NOT(ISERROR(SEARCH("♦",BM37)))</formula>
    </cfRule>
    <cfRule type="containsText" dxfId="42" priority="21" operator="containsText" text="♥">
      <formula>NOT(ISERROR(SEARCH("♥",BM37)))</formula>
    </cfRule>
  </conditionalFormatting>
  <conditionalFormatting sqref="BM37">
    <cfRule type="cellIs" dxfId="41" priority="19" operator="equal">
      <formula>TRUE</formula>
    </cfRule>
  </conditionalFormatting>
  <conditionalFormatting sqref="BR37">
    <cfRule type="containsText" dxfId="40" priority="17" operator="containsText" text="♦">
      <formula>NOT(ISERROR(SEARCH("♦",BR37)))</formula>
    </cfRule>
    <cfRule type="containsText" dxfId="39" priority="18" operator="containsText" text="♥">
      <formula>NOT(ISERROR(SEARCH("♥",BR37)))</formula>
    </cfRule>
  </conditionalFormatting>
  <conditionalFormatting sqref="BR37">
    <cfRule type="cellIs" dxfId="38" priority="16" operator="equal">
      <formula>TRUE</formula>
    </cfRule>
  </conditionalFormatting>
  <conditionalFormatting sqref="BW37">
    <cfRule type="containsText" dxfId="37" priority="14" operator="containsText" text="♦">
      <formula>NOT(ISERROR(SEARCH("♦",BW37)))</formula>
    </cfRule>
    <cfRule type="containsText" dxfId="36" priority="15" operator="containsText" text="♥">
      <formula>NOT(ISERROR(SEARCH("♥",BW37)))</formula>
    </cfRule>
  </conditionalFormatting>
  <conditionalFormatting sqref="BW37">
    <cfRule type="cellIs" dxfId="35" priority="13" operator="equal">
      <formula>TRUE</formula>
    </cfRule>
  </conditionalFormatting>
  <conditionalFormatting sqref="CB37">
    <cfRule type="containsText" dxfId="34" priority="11" operator="containsText" text="♦">
      <formula>NOT(ISERROR(SEARCH("♦",CB37)))</formula>
    </cfRule>
    <cfRule type="containsText" dxfId="33" priority="12" operator="containsText" text="♥">
      <formula>NOT(ISERROR(SEARCH("♥",CB37)))</formula>
    </cfRule>
  </conditionalFormatting>
  <conditionalFormatting sqref="CB37">
    <cfRule type="cellIs" dxfId="32" priority="10" operator="equal">
      <formula>TRUE</formula>
    </cfRule>
  </conditionalFormatting>
  <conditionalFormatting sqref="CG37">
    <cfRule type="containsText" dxfId="31" priority="8" operator="containsText" text="♦">
      <formula>NOT(ISERROR(SEARCH("♦",CG37)))</formula>
    </cfRule>
    <cfRule type="containsText" dxfId="30" priority="9" operator="containsText" text="♥">
      <formula>NOT(ISERROR(SEARCH("♥",CG37)))</formula>
    </cfRule>
  </conditionalFormatting>
  <conditionalFormatting sqref="CG37">
    <cfRule type="cellIs" dxfId="29" priority="7" operator="equal">
      <formula>TRUE</formula>
    </cfRule>
  </conditionalFormatting>
  <conditionalFormatting sqref="CL37">
    <cfRule type="containsText" dxfId="28" priority="5" operator="containsText" text="♦">
      <formula>NOT(ISERROR(SEARCH("♦",CL37)))</formula>
    </cfRule>
    <cfRule type="containsText" dxfId="27" priority="6" operator="containsText" text="♥">
      <formula>NOT(ISERROR(SEARCH("♥",CL37)))</formula>
    </cfRule>
  </conditionalFormatting>
  <conditionalFormatting sqref="CL37">
    <cfRule type="cellIs" dxfId="26" priority="4" operator="equal">
      <formula>TRUE</formula>
    </cfRule>
  </conditionalFormatting>
  <conditionalFormatting sqref="N28 N30 I28 I30 I21 I23 N21 N23 N14 N16 I14 I16 N7 N9 I7 I9">
    <cfRule type="containsText" dxfId="25" priority="2" operator="containsText" text="♦">
      <formula>NOT(ISERROR(SEARCH("♦",I7)))</formula>
    </cfRule>
    <cfRule type="containsText" dxfId="24" priority="3" operator="containsText" text="♥">
      <formula>NOT(ISERROR(SEARCH("♥",I7)))</formula>
    </cfRule>
  </conditionalFormatting>
  <conditionalFormatting sqref="N28:O31 I28:J31 I21:J24 N21:O24 N14:O17 I14:J17 N7:O10 I7:J10">
    <cfRule type="cellIs" dxfId="23" priority="1" operator="equal">
      <formula>TRUE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A4CA-0FBA-420C-A6B5-2472AC860C22}">
  <sheetPr codeName="Sheet7">
    <tabColor theme="1"/>
  </sheetPr>
  <dimension ref="B1:W32"/>
  <sheetViews>
    <sheetView topLeftCell="A2" workbookViewId="0">
      <selection activeCell="J38" sqref="J38"/>
    </sheetView>
  </sheetViews>
  <sheetFormatPr defaultRowHeight="15" x14ac:dyDescent="0.25"/>
  <cols>
    <col min="1" max="1" width="2.85546875" customWidth="1"/>
    <col min="2" max="2" width="3.7109375" bestFit="1" customWidth="1"/>
    <col min="3" max="3" width="14.42578125" bestFit="1" customWidth="1"/>
    <col min="4" max="4" width="6" bestFit="1" customWidth="1"/>
    <col min="5" max="6" width="5.7109375" customWidth="1"/>
    <col min="7" max="7" width="11.85546875" bestFit="1" customWidth="1"/>
    <col min="8" max="10" width="5.7109375" customWidth="1"/>
    <col min="11" max="11" width="6" bestFit="1" customWidth="1"/>
    <col min="12" max="17" width="5.7109375" bestFit="1" customWidth="1"/>
    <col min="18" max="23" width="6.7109375" bestFit="1" customWidth="1"/>
    <col min="24" max="53" width="2.85546875" customWidth="1"/>
  </cols>
  <sheetData>
    <row r="1" spans="2:23" ht="15.75" thickBot="1" x14ac:dyDescent="0.3">
      <c r="B1" s="33" t="s">
        <v>76</v>
      </c>
      <c r="G1" s="33" t="s">
        <v>71</v>
      </c>
      <c r="K1" s="33" t="s">
        <v>77</v>
      </c>
    </row>
    <row r="2" spans="2:23" ht="15.75" thickBot="1" x14ac:dyDescent="0.3">
      <c r="C2" t="s">
        <v>127</v>
      </c>
      <c r="D2" t="s">
        <v>126</v>
      </c>
      <c r="K2" s="42">
        <v>1</v>
      </c>
      <c r="L2" s="43">
        <v>2</v>
      </c>
      <c r="M2" s="43">
        <v>3</v>
      </c>
      <c r="N2" s="43">
        <v>4</v>
      </c>
      <c r="O2" s="43">
        <v>5</v>
      </c>
      <c r="P2" s="43">
        <v>6</v>
      </c>
      <c r="Q2" s="43">
        <v>7</v>
      </c>
      <c r="R2" s="43">
        <v>8</v>
      </c>
      <c r="S2" s="43">
        <v>9</v>
      </c>
      <c r="T2" s="43">
        <v>10</v>
      </c>
      <c r="U2" s="43">
        <v>11</v>
      </c>
      <c r="V2" s="43">
        <v>12</v>
      </c>
      <c r="W2" s="44">
        <v>13</v>
      </c>
    </row>
    <row r="3" spans="2:23" x14ac:dyDescent="0.25">
      <c r="B3" t="s">
        <v>72</v>
      </c>
      <c r="C3" s="81" t="str">
        <f>IF(Selections!L3=FALSE,C$2,VLOOKUP(Selections!L3,Tables!$AX:$AY,2,0))</f>
        <v>Ace</v>
      </c>
      <c r="D3" s="89" t="str">
        <f>IF(Selections!L7=FALSE,D$2,VLOOKUP(Selections!L7,Tables!$AX:$AY,2,0))</f>
        <v>King</v>
      </c>
      <c r="G3" s="69" t="str">
        <f>IF(OR(Tables!Z2="",Tables!Z2=0),"",VLOOKUP(Tables!Z2,Tables!$AX$2:$AY$53,2,0))</f>
        <v/>
      </c>
      <c r="J3" s="45">
        <v>1</v>
      </c>
      <c r="K3" s="34" t="str">
        <f>IF(Tables!K2="","",VLOOKUP(Tables!K2,Tables!$AX$2:$AY$53,2,0))</f>
        <v>5 - ♦</v>
      </c>
      <c r="L3" s="35" t="str">
        <f>IF(Tables!L2="","",VLOOKUP(Tables!L2,Tables!$AX$2:$AY$53,2,0))</f>
        <v>10 - ♠</v>
      </c>
      <c r="M3" s="35" t="str">
        <f>IF(Tables!M2="","",VLOOKUP(Tables!M2,Tables!$AX$2:$AY$53,2,0))</f>
        <v>7 - ♣</v>
      </c>
      <c r="N3" s="35" t="str">
        <f>IF(Tables!N2="","",VLOOKUP(Tables!N2,Tables!$AX$2:$AY$53,2,0))</f>
        <v>A - ♣</v>
      </c>
      <c r="O3" s="35" t="str">
        <f>IF(Tables!O2="","",VLOOKUP(Tables!O2,Tables!$AX$2:$AY$53,2,0))</f>
        <v>K - ♣</v>
      </c>
      <c r="P3" s="35" t="str">
        <f>IF(Tables!P2="","",VLOOKUP(Tables!P2,Tables!$AX$2:$AY$53,2,0))</f>
        <v>K - ♦</v>
      </c>
      <c r="Q3" s="35" t="str">
        <f>IF(Tables!Q2="","",VLOOKUP(Tables!Q2,Tables!$AX$2:$AY$53,2,0))</f>
        <v>10 - ♠</v>
      </c>
      <c r="R3" s="35" t="str">
        <f>IF(Tables!R2="","",VLOOKUP(Tables!R2,Tables!$AX$2:$AY$53,2,0))</f>
        <v>Q - ♥</v>
      </c>
      <c r="S3" s="35" t="str">
        <f>IF(Tables!S2="","",VLOOKUP(Tables!S2,Tables!$AX$2:$AY$53,2,0))</f>
        <v>9 - ♦</v>
      </c>
      <c r="T3" s="35" t="str">
        <f>IF(Tables!T2="","",VLOOKUP(Tables!T2,Tables!$AX$2:$AY$53,2,0))</f>
        <v>7 - ♥</v>
      </c>
      <c r="U3" s="35" t="str">
        <f>IF(Tables!U2="","",VLOOKUP(Tables!U2,Tables!$AX$2:$AY$53,2,0))</f>
        <v>9 - ♠</v>
      </c>
      <c r="V3" s="35" t="str">
        <f>IF(Tables!V2="","",VLOOKUP(Tables!V2,Tables!$AX$2:$AY$53,2,0))</f>
        <v>2 - ♥</v>
      </c>
      <c r="W3" s="36" t="str">
        <f>IF(Tables!W2="","",VLOOKUP(Tables!W2,Tables!$AX$2:$AY$53,2,0))</f>
        <v>K - ♥</v>
      </c>
    </row>
    <row r="4" spans="2:23" x14ac:dyDescent="0.25">
      <c r="B4" t="s">
        <v>73</v>
      </c>
      <c r="C4" s="82" t="str">
        <f>IF(Selections!L4=FALSE,C$2,VLOOKUP(Selections!L4,Tables!$AX:$AY,2,0))</f>
        <v>Ace</v>
      </c>
      <c r="D4" s="90" t="str">
        <f>IF(Selections!L8=FALSE,D$2,VLOOKUP(Selections!L8,Tables!$AX:$AY,2,0))</f>
        <v>King</v>
      </c>
      <c r="G4" s="70" t="str">
        <f>IF(OR(Tables!Z3="",Tables!Z3=0),"",VLOOKUP(Tables!Z3,Tables!$AX$2:$AY$53,2,0))</f>
        <v/>
      </c>
      <c r="J4" s="46">
        <v>2</v>
      </c>
      <c r="K4" s="37" t="str">
        <f>IF(Tables!K3="","",VLOOKUP(Tables!K3,Tables!$AX$2:$AY$53,2,0))</f>
        <v>5 - ♠</v>
      </c>
      <c r="L4" t="str">
        <f>IF(Tables!L3="","",VLOOKUP(Tables!L3,Tables!$AX$2:$AY$53,2,0))</f>
        <v>4 - ♣</v>
      </c>
      <c r="M4" t="str">
        <f>IF(Tables!M3="","",VLOOKUP(Tables!M3,Tables!$AX$2:$AY$53,2,0))</f>
        <v>5 - ♠</v>
      </c>
      <c r="N4" t="str">
        <f>IF(Tables!N3="","",VLOOKUP(Tables!N3,Tables!$AX$2:$AY$53,2,0))</f>
        <v>8 - ♦</v>
      </c>
      <c r="O4" t="str">
        <f>IF(Tables!O3="","",VLOOKUP(Tables!O3,Tables!$AX$2:$AY$53,2,0))</f>
        <v>J - ♣</v>
      </c>
      <c r="P4" t="str">
        <f>IF(Tables!P3="","",VLOOKUP(Tables!P3,Tables!$AX$2:$AY$53,2,0))</f>
        <v>7 - ♦</v>
      </c>
      <c r="Q4" t="str">
        <f>IF(Tables!Q3="","",VLOOKUP(Tables!Q3,Tables!$AX$2:$AY$53,2,0))</f>
        <v>A - ♥</v>
      </c>
      <c r="R4" t="str">
        <f>IF(Tables!R3="","",VLOOKUP(Tables!R3,Tables!$AX$2:$AY$53,2,0))</f>
        <v>8 - ♠</v>
      </c>
      <c r="S4" t="str">
        <f>IF(Tables!S3="","",VLOOKUP(Tables!S3,Tables!$AX$2:$AY$53,2,0))</f>
        <v>A - ♠</v>
      </c>
      <c r="T4" t="str">
        <f>IF(Tables!T3="","",VLOOKUP(Tables!T3,Tables!$AX$2:$AY$53,2,0))</f>
        <v>3 - ♦</v>
      </c>
      <c r="U4" t="str">
        <f>IF(Tables!U3="","",VLOOKUP(Tables!U3,Tables!$AX$2:$AY$53,2,0))</f>
        <v>5 - ♥</v>
      </c>
      <c r="V4" t="str">
        <f>IF(Tables!V3="","",VLOOKUP(Tables!V3,Tables!$AX$2:$AY$53,2,0))</f>
        <v>10 - ♦</v>
      </c>
      <c r="W4" s="38" t="str">
        <f>IF(Tables!W3="","",VLOOKUP(Tables!W3,Tables!$AX$2:$AY$53,2,0))</f>
        <v>2 - ♣</v>
      </c>
    </row>
    <row r="5" spans="2:23" x14ac:dyDescent="0.25">
      <c r="B5" t="s">
        <v>74</v>
      </c>
      <c r="C5" s="82" t="str">
        <f>IF(Selections!L5=FALSE,C$2,VLOOKUP(Selections!L5,Tables!$AX:$AY,2,0))</f>
        <v>Ace</v>
      </c>
      <c r="D5" s="90" t="str">
        <f>IF(Selections!L9=FALSE,D$2,VLOOKUP(Selections!L9,Tables!$AX:$AY,2,0))</f>
        <v>King</v>
      </c>
      <c r="G5" s="70" t="str">
        <f>IF(OR(Tables!Z4="",Tables!Z4=0),"",VLOOKUP(Tables!Z4,Tables!$AX$2:$AY$53,2,0))</f>
        <v/>
      </c>
      <c r="J5" s="46">
        <v>3</v>
      </c>
      <c r="K5" s="37" t="str">
        <f>IF(Tables!K4="","",VLOOKUP(Tables!K4,Tables!$AX$2:$AY$53,2,0))</f>
        <v>4 - ♣</v>
      </c>
      <c r="L5" t="str">
        <f>IF(Tables!L4="","",VLOOKUP(Tables!L4,Tables!$AX$2:$AY$53,2,0))</f>
        <v>6 - ♦</v>
      </c>
      <c r="M5" t="str">
        <f>IF(Tables!M4="","",VLOOKUP(Tables!M4,Tables!$AX$2:$AY$53,2,0))</f>
        <v>J - ♥</v>
      </c>
      <c r="N5" t="str">
        <f>IF(Tables!N4="","",VLOOKUP(Tables!N4,Tables!$AX$2:$AY$53,2,0))</f>
        <v>7 - ♠</v>
      </c>
      <c r="O5" t="str">
        <f>IF(Tables!O4="","",VLOOKUP(Tables!O4,Tables!$AX$2:$AY$53,2,0))</f>
        <v>Q - ♣</v>
      </c>
      <c r="P5" t="str">
        <f>IF(Tables!P4="","",VLOOKUP(Tables!P4,Tables!$AX$2:$AY$53,2,0))</f>
        <v>8 - ♥</v>
      </c>
      <c r="Q5" t="str">
        <f>IF(Tables!Q4="","",VLOOKUP(Tables!Q4,Tables!$AX$2:$AY$53,2,0))</f>
        <v>6 - ♣</v>
      </c>
      <c r="R5" t="str">
        <f>IF(Tables!R4="","",VLOOKUP(Tables!R4,Tables!$AX$2:$AY$53,2,0))</f>
        <v>Q - ♦</v>
      </c>
      <c r="S5" t="str">
        <f>IF(Tables!S4="","",VLOOKUP(Tables!S4,Tables!$AX$2:$AY$53,2,0))</f>
        <v>9 - ♥</v>
      </c>
      <c r="T5" t="str">
        <f>IF(Tables!T4="","",VLOOKUP(Tables!T4,Tables!$AX$2:$AY$53,2,0))</f>
        <v>3 - ♥</v>
      </c>
      <c r="U5" t="str">
        <f>IF(Tables!U4="","",VLOOKUP(Tables!U4,Tables!$AX$2:$AY$53,2,0))</f>
        <v>A - ♠</v>
      </c>
      <c r="V5" t="str">
        <f>IF(Tables!V4="","",VLOOKUP(Tables!V4,Tables!$AX$2:$AY$53,2,0))</f>
        <v>J - ♥</v>
      </c>
      <c r="W5" s="38" t="str">
        <f>IF(Tables!W4="","",VLOOKUP(Tables!W4,Tables!$AX$2:$AY$53,2,0))</f>
        <v>Q - ♠</v>
      </c>
    </row>
    <row r="6" spans="2:23" x14ac:dyDescent="0.25">
      <c r="B6" t="s">
        <v>75</v>
      </c>
      <c r="C6" s="75" t="str">
        <f>IF(Selections!L6=FALSE,C$2,VLOOKUP(Selections!L6,Tables!$AX:$AY,2,0))</f>
        <v>Ace</v>
      </c>
      <c r="D6" s="91" t="str">
        <f>IF(Selections!L10=FALSE,D$2,VLOOKUP(Selections!L10,Tables!$AX:$AY,2,0))</f>
        <v>King</v>
      </c>
      <c r="G6" s="70" t="str">
        <f>IF(OR(Tables!Z5="",Tables!Z5=0),"",VLOOKUP(Tables!Z5,Tables!$AX$2:$AY$53,2,0))</f>
        <v/>
      </c>
      <c r="J6" s="46">
        <v>4</v>
      </c>
      <c r="K6" s="37" t="str">
        <f>IF(Tables!K5="","",VLOOKUP(Tables!K5,Tables!$AX$2:$AY$53,2,0))</f>
        <v>J - ♠</v>
      </c>
      <c r="L6" t="str">
        <f>IF(Tables!L5="","",VLOOKUP(Tables!L5,Tables!$AX$2:$AY$53,2,0))</f>
        <v>9 - ♦</v>
      </c>
      <c r="M6" t="str">
        <f>IF(Tables!M5="","",VLOOKUP(Tables!M5,Tables!$AX$2:$AY$53,2,0))</f>
        <v>A - ♦</v>
      </c>
      <c r="N6" t="str">
        <f>IF(Tables!N5="","",VLOOKUP(Tables!N5,Tables!$AX$2:$AY$53,2,0))</f>
        <v>3 - ♣</v>
      </c>
      <c r="O6" t="str">
        <f>IF(Tables!O5="","",VLOOKUP(Tables!O5,Tables!$AX$2:$AY$53,2,0))</f>
        <v>Q - ♥</v>
      </c>
      <c r="P6" t="str">
        <f>IF(Tables!P5="","",VLOOKUP(Tables!P5,Tables!$AX$2:$AY$53,2,0))</f>
        <v>3 - ♣</v>
      </c>
      <c r="Q6" t="str">
        <f>IF(Tables!Q5="","",VLOOKUP(Tables!Q5,Tables!$AX$2:$AY$53,2,0))</f>
        <v>9 - ♣</v>
      </c>
      <c r="R6" t="str">
        <f>IF(Tables!R5="","",VLOOKUP(Tables!R5,Tables!$AX$2:$AY$53,2,0))</f>
        <v>J - ♦</v>
      </c>
      <c r="S6" t="str">
        <f>IF(Tables!S5="","",VLOOKUP(Tables!S5,Tables!$AX$2:$AY$53,2,0))</f>
        <v>2 - ♣</v>
      </c>
      <c r="T6" t="str">
        <f>IF(Tables!T5="","",VLOOKUP(Tables!T5,Tables!$AX$2:$AY$53,2,0))</f>
        <v>K - ♠</v>
      </c>
      <c r="U6" t="str">
        <f>IF(Tables!U5="","",VLOOKUP(Tables!U5,Tables!$AX$2:$AY$53,2,0))</f>
        <v>6 - ♣</v>
      </c>
      <c r="V6" t="str">
        <f>IF(Tables!V5="","",VLOOKUP(Tables!V5,Tables!$AX$2:$AY$53,2,0))</f>
        <v>9 - ♥</v>
      </c>
      <c r="W6" s="38" t="str">
        <f>IF(Tables!W5="","",VLOOKUP(Tables!W5,Tables!$AX$2:$AY$53,2,0))</f>
        <v>5 - ♣</v>
      </c>
    </row>
    <row r="7" spans="2:23" x14ac:dyDescent="0.25">
      <c r="G7" s="70" t="str">
        <f>IF(OR(Tables!Z6="",Tables!Z6=0),"",VLOOKUP(Tables!Z6,Tables!$AX$2:$AY$53,2,0))</f>
        <v/>
      </c>
      <c r="J7" s="46">
        <v>5</v>
      </c>
      <c r="K7" s="37" t="str">
        <f>IF(Tables!K6="","",VLOOKUP(Tables!K6,Tables!$AX$2:$AY$53,2,0))</f>
        <v>10 - ♥</v>
      </c>
      <c r="L7" t="str">
        <f>IF(Tables!L6="","",VLOOKUP(Tables!L6,Tables!$AX$2:$AY$53,2,0))</f>
        <v>A - ♦</v>
      </c>
      <c r="M7" t="str">
        <f>IF(Tables!M6="","",VLOOKUP(Tables!M6,Tables!$AX$2:$AY$53,2,0))</f>
        <v>K - ♥</v>
      </c>
      <c r="N7" t="str">
        <f>IF(Tables!N6="","",VLOOKUP(Tables!N6,Tables!$AX$2:$AY$53,2,0))</f>
        <v>7 - ♦</v>
      </c>
      <c r="O7" t="str">
        <f>IF(Tables!O6="","",VLOOKUP(Tables!O6,Tables!$AX$2:$AY$53,2,0))</f>
        <v>6 - ♠</v>
      </c>
      <c r="P7" t="str">
        <f>IF(Tables!P6="","",VLOOKUP(Tables!P6,Tables!$AX$2:$AY$53,2,0))</f>
        <v>2 - ♠</v>
      </c>
      <c r="Q7" t="str">
        <f>IF(Tables!Q6="","",VLOOKUP(Tables!Q6,Tables!$AX$2:$AY$53,2,0))</f>
        <v>10 - ♥</v>
      </c>
      <c r="R7" t="str">
        <f>IF(Tables!R6="","",VLOOKUP(Tables!R6,Tables!$AX$2:$AY$53,2,0))</f>
        <v>4 - ♥</v>
      </c>
      <c r="S7" t="str">
        <f>IF(Tables!S6="","",VLOOKUP(Tables!S6,Tables!$AX$2:$AY$53,2,0))</f>
        <v>5 - ♥</v>
      </c>
      <c r="T7" t="str">
        <f>IF(Tables!T6="","",VLOOKUP(Tables!T6,Tables!$AX$2:$AY$53,2,0))</f>
        <v>J - ♠</v>
      </c>
      <c r="U7" t="str">
        <f>IF(Tables!U6="","",VLOOKUP(Tables!U6,Tables!$AX$2:$AY$53,2,0))</f>
        <v>K - ♦</v>
      </c>
      <c r="V7" t="str">
        <f>IF(Tables!V6="","",VLOOKUP(Tables!V6,Tables!$AX$2:$AY$53,2,0))</f>
        <v>8 - ♠</v>
      </c>
      <c r="W7" s="38" t="str">
        <f>IF(Tables!W6="","",VLOOKUP(Tables!W6,Tables!$AX$2:$AY$53,2,0))</f>
        <v>6 - ♥</v>
      </c>
    </row>
    <row r="8" spans="2:23" x14ac:dyDescent="0.25">
      <c r="G8" s="70" t="str">
        <f>IF(OR(Tables!Z7="",Tables!Z7=0),"",VLOOKUP(Tables!Z7,Tables!$AX$2:$AY$53,2,0))</f>
        <v/>
      </c>
      <c r="J8" s="46">
        <v>6</v>
      </c>
      <c r="K8" s="37" t="str">
        <f>IF(Tables!K7="","",VLOOKUP(Tables!K7,Tables!$AX$2:$AY$53,2,0))</f>
        <v>8 - ♣</v>
      </c>
      <c r="L8" t="str">
        <f>IF(Tables!L7="","",VLOOKUP(Tables!L7,Tables!$AX$2:$AY$53,2,0))</f>
        <v>8 - ♦</v>
      </c>
      <c r="M8" t="str">
        <f>IF(Tables!M7="","",VLOOKUP(Tables!M7,Tables!$AX$2:$AY$53,2,0))</f>
        <v>3 - ♠</v>
      </c>
      <c r="N8" t="str">
        <f>IF(Tables!N7="","",VLOOKUP(Tables!N7,Tables!$AX$2:$AY$53,2,0))</f>
        <v>9 - ♠</v>
      </c>
      <c r="O8" t="str">
        <f>IF(Tables!O7="","",VLOOKUP(Tables!O7,Tables!$AX$2:$AY$53,2,0))</f>
        <v>A - ♥</v>
      </c>
      <c r="P8" t="str">
        <f>IF(Tables!P7="","",VLOOKUP(Tables!P7,Tables!$AX$2:$AY$53,2,0))</f>
        <v>K - ♣</v>
      </c>
      <c r="Q8" t="str">
        <f>IF(Tables!Q7="","",VLOOKUP(Tables!Q7,Tables!$AX$2:$AY$53,2,0))</f>
        <v>2 - ♦</v>
      </c>
      <c r="R8" t="str">
        <f>IF(Tables!R7="","",VLOOKUP(Tables!R7,Tables!$AX$2:$AY$53,2,0))</f>
        <v>6 - ♠</v>
      </c>
      <c r="S8" t="str">
        <f>IF(Tables!S7="","",VLOOKUP(Tables!S7,Tables!$AX$2:$AY$53,2,0))</f>
        <v>4 - ♦</v>
      </c>
      <c r="T8" t="str">
        <f>IF(Tables!T7="","",VLOOKUP(Tables!T7,Tables!$AX$2:$AY$53,2,0))</f>
        <v>8 - ♣</v>
      </c>
      <c r="U8" t="str">
        <f>IF(Tables!U7="","",VLOOKUP(Tables!U7,Tables!$AX$2:$AY$53,2,0))</f>
        <v>Q - ♣</v>
      </c>
      <c r="V8" t="str">
        <f>IF(Tables!V7="","",VLOOKUP(Tables!V7,Tables!$AX$2:$AY$53,2,0))</f>
        <v>4 - ♠</v>
      </c>
      <c r="W8" s="38" t="str">
        <f>IF(Tables!W7="","",VLOOKUP(Tables!W7,Tables!$AX$2:$AY$53,2,0))</f>
        <v>5 - ♦</v>
      </c>
    </row>
    <row r="9" spans="2:23" x14ac:dyDescent="0.25">
      <c r="G9" s="70" t="str">
        <f>IF(OR(Tables!Z8="",Tables!Z8=0),"",VLOOKUP(Tables!Z8,Tables!$AX$2:$AY$53,2,0))</f>
        <v/>
      </c>
      <c r="J9" s="46">
        <v>7</v>
      </c>
      <c r="K9" s="37" t="str">
        <f>IF(Tables!K8="","",VLOOKUP(Tables!K8,Tables!$AX$2:$AY$53,2,0))</f>
        <v>9 - ♣</v>
      </c>
      <c r="L9" t="str">
        <f>IF(Tables!L8="","",VLOOKUP(Tables!L8,Tables!$AX$2:$AY$53,2,0))</f>
        <v>Q - ♠</v>
      </c>
      <c r="M9" t="str">
        <f>IF(Tables!M8="","",VLOOKUP(Tables!M8,Tables!$AX$2:$AY$53,2,0))</f>
        <v>4 - ♠</v>
      </c>
      <c r="N9" t="str">
        <f>IF(Tables!N8="","",VLOOKUP(Tables!N8,Tables!$AX$2:$AY$53,2,0))</f>
        <v/>
      </c>
      <c r="O9" t="str">
        <f>IF(Tables!O8="","",VLOOKUP(Tables!O8,Tables!$AX$2:$AY$53,2,0))</f>
        <v/>
      </c>
      <c r="P9" t="str">
        <f>IF(Tables!P8="","",VLOOKUP(Tables!P8,Tables!$AX$2:$AY$53,2,0))</f>
        <v/>
      </c>
      <c r="Q9" t="str">
        <f>IF(Tables!Q8="","",VLOOKUP(Tables!Q8,Tables!$AX$2:$AY$53,2,0))</f>
        <v/>
      </c>
      <c r="R9" t="str">
        <f>IF(Tables!R8="","",VLOOKUP(Tables!R8,Tables!$AX$2:$AY$53,2,0))</f>
        <v/>
      </c>
      <c r="S9" t="str">
        <f>IF(Tables!S8="","",VLOOKUP(Tables!S8,Tables!$AX$2:$AY$53,2,0))</f>
        <v/>
      </c>
      <c r="T9" t="str">
        <f>IF(Tables!T8="","",VLOOKUP(Tables!T8,Tables!$AX$2:$AY$53,2,0))</f>
        <v/>
      </c>
      <c r="U9" t="str">
        <f>IF(Tables!U8="","",VLOOKUP(Tables!U8,Tables!$AX$2:$AY$53,2,0))</f>
        <v/>
      </c>
      <c r="V9" t="str">
        <f>IF(Tables!V8="","",VLOOKUP(Tables!V8,Tables!$AX$2:$AY$53,2,0))</f>
        <v/>
      </c>
      <c r="W9" s="38" t="str">
        <f>IF(Tables!W8="","",VLOOKUP(Tables!W8,Tables!$AX$2:$AY$53,2,0))</f>
        <v/>
      </c>
    </row>
    <row r="10" spans="2:23" x14ac:dyDescent="0.25">
      <c r="G10" s="70" t="str">
        <f>IF(OR(Tables!Z9="",Tables!Z9=0),"",VLOOKUP(Tables!Z9,Tables!$AX$2:$AY$53,2,0))</f>
        <v/>
      </c>
      <c r="J10" s="46">
        <v>8</v>
      </c>
      <c r="K10" s="37" t="str">
        <f>IF(Tables!K9="","",VLOOKUP(Tables!K9,Tables!$AX$2:$AY$53,2,0))</f>
        <v/>
      </c>
      <c r="L10" t="str">
        <f>IF(Tables!L9="","",VLOOKUP(Tables!L9,Tables!$AX$2:$AY$53,2,0))</f>
        <v/>
      </c>
      <c r="M10" t="str">
        <f>IF(Tables!M9="","",VLOOKUP(Tables!M9,Tables!$AX$2:$AY$53,2,0))</f>
        <v/>
      </c>
      <c r="N10" t="str">
        <f>IF(Tables!N9="","",VLOOKUP(Tables!N9,Tables!$AX$2:$AY$53,2,0))</f>
        <v/>
      </c>
      <c r="O10" t="str">
        <f>IF(Tables!O9="","",VLOOKUP(Tables!O9,Tables!$AX$2:$AY$53,2,0))</f>
        <v/>
      </c>
      <c r="P10" t="str">
        <f>IF(Tables!P9="","",VLOOKUP(Tables!P9,Tables!$AX$2:$AY$53,2,0))</f>
        <v/>
      </c>
      <c r="Q10" t="str">
        <f>IF(Tables!Q9="","",VLOOKUP(Tables!Q9,Tables!$AX$2:$AY$53,2,0))</f>
        <v/>
      </c>
      <c r="R10" t="str">
        <f>IF(Tables!R9="","",VLOOKUP(Tables!R9,Tables!$AX$2:$AY$53,2,0))</f>
        <v/>
      </c>
      <c r="S10" t="str">
        <f>IF(Tables!S9="","",VLOOKUP(Tables!S9,Tables!$AX$2:$AY$53,2,0))</f>
        <v/>
      </c>
      <c r="T10" t="str">
        <f>IF(Tables!T9="","",VLOOKUP(Tables!T9,Tables!$AX$2:$AY$53,2,0))</f>
        <v/>
      </c>
      <c r="U10" t="str">
        <f>IF(Tables!U9="","",VLOOKUP(Tables!U9,Tables!$AX$2:$AY$53,2,0))</f>
        <v/>
      </c>
      <c r="V10" t="str">
        <f>IF(Tables!V9="","",VLOOKUP(Tables!V9,Tables!$AX$2:$AY$53,2,0))</f>
        <v/>
      </c>
      <c r="W10" s="38" t="str">
        <f>IF(Tables!W9="","",VLOOKUP(Tables!W9,Tables!$AX$2:$AY$53,2,0))</f>
        <v/>
      </c>
    </row>
    <row r="11" spans="2:23" x14ac:dyDescent="0.25">
      <c r="G11" s="70" t="str">
        <f>IF(OR(Tables!Z10="",Tables!Z10=0),"",VLOOKUP(Tables!Z10,Tables!$AX$2:$AY$53,2,0))</f>
        <v/>
      </c>
      <c r="J11" s="46">
        <v>9</v>
      </c>
      <c r="K11" s="37" t="str">
        <f>IF(Tables!K10="","",VLOOKUP(Tables!K10,Tables!$AX$2:$AY$53,2,0))</f>
        <v/>
      </c>
      <c r="L11" t="str">
        <f>IF(Tables!L10="","",VLOOKUP(Tables!L10,Tables!$AX$2:$AY$53,2,0))</f>
        <v/>
      </c>
      <c r="M11" t="str">
        <f>IF(Tables!M10="","",VLOOKUP(Tables!M10,Tables!$AX$2:$AY$53,2,0))</f>
        <v/>
      </c>
      <c r="N11" t="str">
        <f>IF(Tables!N10="","",VLOOKUP(Tables!N10,Tables!$AX$2:$AY$53,2,0))</f>
        <v/>
      </c>
      <c r="O11" t="str">
        <f>IF(Tables!O10="","",VLOOKUP(Tables!O10,Tables!$AX$2:$AY$53,2,0))</f>
        <v/>
      </c>
      <c r="P11" t="str">
        <f>IF(Tables!P10="","",VLOOKUP(Tables!P10,Tables!$AX$2:$AY$53,2,0))</f>
        <v/>
      </c>
      <c r="Q11" t="str">
        <f>IF(Tables!Q10="","",VLOOKUP(Tables!Q10,Tables!$AX$2:$AY$53,2,0))</f>
        <v/>
      </c>
      <c r="R11" t="str">
        <f>IF(Tables!R10="","",VLOOKUP(Tables!R10,Tables!$AX$2:$AY$53,2,0))</f>
        <v/>
      </c>
      <c r="S11" t="str">
        <f>IF(Tables!S10="","",VLOOKUP(Tables!S10,Tables!$AX$2:$AY$53,2,0))</f>
        <v/>
      </c>
      <c r="T11" t="str">
        <f>IF(Tables!T10="","",VLOOKUP(Tables!T10,Tables!$AX$2:$AY$53,2,0))</f>
        <v/>
      </c>
      <c r="U11" t="str">
        <f>IF(Tables!U10="","",VLOOKUP(Tables!U10,Tables!$AX$2:$AY$53,2,0))</f>
        <v/>
      </c>
      <c r="V11" t="str">
        <f>IF(Tables!V10="","",VLOOKUP(Tables!V10,Tables!$AX$2:$AY$53,2,0))</f>
        <v/>
      </c>
      <c r="W11" s="38" t="str">
        <f>IF(Tables!W10="","",VLOOKUP(Tables!W10,Tables!$AX$2:$AY$53,2,0))</f>
        <v/>
      </c>
    </row>
    <row r="12" spans="2:23" x14ac:dyDescent="0.25">
      <c r="G12" s="70" t="str">
        <f>IF(OR(Tables!Z11="",Tables!Z11=0),"",VLOOKUP(Tables!Z11,Tables!$AX$2:$AY$53,2,0))</f>
        <v/>
      </c>
      <c r="J12" s="46">
        <v>10</v>
      </c>
      <c r="K12" s="37" t="str">
        <f>IF(Tables!K11="","",VLOOKUP(Tables!K11,Tables!$AX$2:$AY$53,2,0))</f>
        <v/>
      </c>
      <c r="L12" t="str">
        <f>IF(Tables!L11="","",VLOOKUP(Tables!L11,Tables!$AX$2:$AY$53,2,0))</f>
        <v/>
      </c>
      <c r="M12" t="str">
        <f>IF(Tables!M11="","",VLOOKUP(Tables!M11,Tables!$AX$2:$AY$53,2,0))</f>
        <v/>
      </c>
      <c r="N12" t="str">
        <f>IF(Tables!N11="","",VLOOKUP(Tables!N11,Tables!$AX$2:$AY$53,2,0))</f>
        <v/>
      </c>
      <c r="O12" t="str">
        <f>IF(Tables!O11="","",VLOOKUP(Tables!O11,Tables!$AX$2:$AY$53,2,0))</f>
        <v/>
      </c>
      <c r="P12" t="str">
        <f>IF(Tables!P11="","",VLOOKUP(Tables!P11,Tables!$AX$2:$AY$53,2,0))</f>
        <v/>
      </c>
      <c r="Q12" t="str">
        <f>IF(Tables!Q11="","",VLOOKUP(Tables!Q11,Tables!$AX$2:$AY$53,2,0))</f>
        <v/>
      </c>
      <c r="R12" t="str">
        <f>IF(Tables!R11="","",VLOOKUP(Tables!R11,Tables!$AX$2:$AY$53,2,0))</f>
        <v/>
      </c>
      <c r="S12" t="str">
        <f>IF(Tables!S11="","",VLOOKUP(Tables!S11,Tables!$AX$2:$AY$53,2,0))</f>
        <v/>
      </c>
      <c r="T12" t="str">
        <f>IF(Tables!T11="","",VLOOKUP(Tables!T11,Tables!$AX$2:$AY$53,2,0))</f>
        <v/>
      </c>
      <c r="U12" t="str">
        <f>IF(Tables!U11="","",VLOOKUP(Tables!U11,Tables!$AX$2:$AY$53,2,0))</f>
        <v/>
      </c>
      <c r="V12" t="str">
        <f>IF(Tables!V11="","",VLOOKUP(Tables!V11,Tables!$AX$2:$AY$53,2,0))</f>
        <v/>
      </c>
      <c r="W12" s="38" t="str">
        <f>IF(Tables!W11="","",VLOOKUP(Tables!W11,Tables!$AX$2:$AY$53,2,0))</f>
        <v/>
      </c>
    </row>
    <row r="13" spans="2:23" x14ac:dyDescent="0.25">
      <c r="G13" s="70" t="str">
        <f>IF(OR(Tables!Z12="",Tables!Z12=0),"",VLOOKUP(Tables!Z12,Tables!$AX$2:$AY$53,2,0))</f>
        <v/>
      </c>
      <c r="J13" s="46">
        <v>11</v>
      </c>
      <c r="K13" s="37" t="str">
        <f>IF(Tables!K12="","",VLOOKUP(Tables!K12,Tables!$AX$2:$AY$53,2,0))</f>
        <v/>
      </c>
      <c r="L13" t="str">
        <f>IF(Tables!L12="","",VLOOKUP(Tables!L12,Tables!$AX$2:$AY$53,2,0))</f>
        <v/>
      </c>
      <c r="M13" t="str">
        <f>IF(Tables!M12="","",VLOOKUP(Tables!M12,Tables!$AX$2:$AY$53,2,0))</f>
        <v/>
      </c>
      <c r="N13" t="str">
        <f>IF(Tables!N12="","",VLOOKUP(Tables!N12,Tables!$AX$2:$AY$53,2,0))</f>
        <v/>
      </c>
      <c r="O13" t="str">
        <f>IF(Tables!O12="","",VLOOKUP(Tables!O12,Tables!$AX$2:$AY$53,2,0))</f>
        <v/>
      </c>
      <c r="P13" t="str">
        <f>IF(Tables!P12="","",VLOOKUP(Tables!P12,Tables!$AX$2:$AY$53,2,0))</f>
        <v/>
      </c>
      <c r="Q13" t="str">
        <f>IF(Tables!Q12="","",VLOOKUP(Tables!Q12,Tables!$AX$2:$AY$53,2,0))</f>
        <v/>
      </c>
      <c r="R13" t="str">
        <f>IF(Tables!R12="","",VLOOKUP(Tables!R12,Tables!$AX$2:$AY$53,2,0))</f>
        <v/>
      </c>
      <c r="S13" t="str">
        <f>IF(Tables!S12="","",VLOOKUP(Tables!S12,Tables!$AX$2:$AY$53,2,0))</f>
        <v/>
      </c>
      <c r="T13" t="str">
        <f>IF(Tables!T12="","",VLOOKUP(Tables!T12,Tables!$AX$2:$AY$53,2,0))</f>
        <v/>
      </c>
      <c r="U13" t="str">
        <f>IF(Tables!U12="","",VLOOKUP(Tables!U12,Tables!$AX$2:$AY$53,2,0))</f>
        <v/>
      </c>
      <c r="V13" t="str">
        <f>IF(Tables!V12="","",VLOOKUP(Tables!V12,Tables!$AX$2:$AY$53,2,0))</f>
        <v/>
      </c>
      <c r="W13" s="38" t="str">
        <f>IF(Tables!W12="","",VLOOKUP(Tables!W12,Tables!$AX$2:$AY$53,2,0))</f>
        <v/>
      </c>
    </row>
    <row r="14" spans="2:23" x14ac:dyDescent="0.25">
      <c r="G14" s="70" t="str">
        <f>IF(OR(Tables!Z13="",Tables!Z13=0),"",VLOOKUP(Tables!Z13,Tables!$AX$2:$AY$53,2,0))</f>
        <v/>
      </c>
      <c r="J14" s="46">
        <v>12</v>
      </c>
      <c r="K14" s="37" t="str">
        <f>IF(Tables!K13="","",VLOOKUP(Tables!K13,Tables!$AX$2:$AY$53,2,0))</f>
        <v/>
      </c>
      <c r="L14" t="str">
        <f>IF(Tables!L13="","",VLOOKUP(Tables!L13,Tables!$AX$2:$AY$53,2,0))</f>
        <v/>
      </c>
      <c r="M14" t="str">
        <f>IF(Tables!M13="","",VLOOKUP(Tables!M13,Tables!$AX$2:$AY$53,2,0))</f>
        <v/>
      </c>
      <c r="N14" t="str">
        <f>IF(Tables!N13="","",VLOOKUP(Tables!N13,Tables!$AX$2:$AY$53,2,0))</f>
        <v/>
      </c>
      <c r="O14" t="str">
        <f>IF(Tables!O13="","",VLOOKUP(Tables!O13,Tables!$AX$2:$AY$53,2,0))</f>
        <v/>
      </c>
      <c r="P14" t="str">
        <f>IF(Tables!P13="","",VLOOKUP(Tables!P13,Tables!$AX$2:$AY$53,2,0))</f>
        <v/>
      </c>
      <c r="Q14" t="str">
        <f>IF(Tables!Q13="","",VLOOKUP(Tables!Q13,Tables!$AX$2:$AY$53,2,0))</f>
        <v/>
      </c>
      <c r="R14" t="str">
        <f>IF(Tables!R13="","",VLOOKUP(Tables!R13,Tables!$AX$2:$AY$53,2,0))</f>
        <v/>
      </c>
      <c r="S14" t="str">
        <f>IF(Tables!S13="","",VLOOKUP(Tables!S13,Tables!$AX$2:$AY$53,2,0))</f>
        <v/>
      </c>
      <c r="T14" t="str">
        <f>IF(Tables!T13="","",VLOOKUP(Tables!T13,Tables!$AX$2:$AY$53,2,0))</f>
        <v/>
      </c>
      <c r="U14" t="str">
        <f>IF(Tables!U13="","",VLOOKUP(Tables!U13,Tables!$AX$2:$AY$53,2,0))</f>
        <v/>
      </c>
      <c r="V14" t="str">
        <f>IF(Tables!V13="","",VLOOKUP(Tables!V13,Tables!$AX$2:$AY$53,2,0))</f>
        <v/>
      </c>
      <c r="W14" s="38" t="str">
        <f>IF(Tables!W13="","",VLOOKUP(Tables!W13,Tables!$AX$2:$AY$53,2,0))</f>
        <v/>
      </c>
    </row>
    <row r="15" spans="2:23" x14ac:dyDescent="0.25">
      <c r="G15" s="70" t="str">
        <f>IF(OR(Tables!Z14="",Tables!Z14=0),"",VLOOKUP(Tables!Z14,Tables!$AX$2:$AY$53,2,0))</f>
        <v/>
      </c>
      <c r="J15" s="46">
        <v>13</v>
      </c>
      <c r="K15" s="37" t="str">
        <f>IF(Tables!K14="","",VLOOKUP(Tables!K14,Tables!$AX$2:$AY$53,2,0))</f>
        <v/>
      </c>
      <c r="L15" t="str">
        <f>IF(Tables!L14="","",VLOOKUP(Tables!L14,Tables!$AX$2:$AY$53,2,0))</f>
        <v/>
      </c>
      <c r="M15" t="str">
        <f>IF(Tables!M14="","",VLOOKUP(Tables!M14,Tables!$AX$2:$AY$53,2,0))</f>
        <v/>
      </c>
      <c r="N15" t="str">
        <f>IF(Tables!N14="","",VLOOKUP(Tables!N14,Tables!$AX$2:$AY$53,2,0))</f>
        <v/>
      </c>
      <c r="O15" t="str">
        <f>IF(Tables!O14="","",VLOOKUP(Tables!O14,Tables!$AX$2:$AY$53,2,0))</f>
        <v/>
      </c>
      <c r="P15" t="str">
        <f>IF(Tables!P14="","",VLOOKUP(Tables!P14,Tables!$AX$2:$AY$53,2,0))</f>
        <v/>
      </c>
      <c r="Q15" t="str">
        <f>IF(Tables!Q14="","",VLOOKUP(Tables!Q14,Tables!$AX$2:$AY$53,2,0))</f>
        <v/>
      </c>
      <c r="R15" t="str">
        <f>IF(Tables!R14="","",VLOOKUP(Tables!R14,Tables!$AX$2:$AY$53,2,0))</f>
        <v/>
      </c>
      <c r="S15" t="str">
        <f>IF(Tables!S14="","",VLOOKUP(Tables!S14,Tables!$AX$2:$AY$53,2,0))</f>
        <v/>
      </c>
      <c r="T15" t="str">
        <f>IF(Tables!T14="","",VLOOKUP(Tables!T14,Tables!$AX$2:$AY$53,2,0))</f>
        <v/>
      </c>
      <c r="U15" t="str">
        <f>IF(Tables!U14="","",VLOOKUP(Tables!U14,Tables!$AX$2:$AY$53,2,0))</f>
        <v/>
      </c>
      <c r="V15" t="str">
        <f>IF(Tables!V14="","",VLOOKUP(Tables!V14,Tables!$AX$2:$AY$53,2,0))</f>
        <v/>
      </c>
      <c r="W15" s="38" t="str">
        <f>IF(Tables!W14="","",VLOOKUP(Tables!W14,Tables!$AX$2:$AY$53,2,0))</f>
        <v/>
      </c>
    </row>
    <row r="16" spans="2:23" x14ac:dyDescent="0.25">
      <c r="G16" s="70" t="str">
        <f>IF(OR(Tables!Z15="",Tables!Z15=0),"",VLOOKUP(Tables!Z15,Tables!$AX$2:$AY$53,2,0))</f>
        <v/>
      </c>
      <c r="J16" s="46">
        <v>14</v>
      </c>
      <c r="K16" s="37" t="str">
        <f>IF(Tables!K15="","",VLOOKUP(Tables!K15,Tables!$AX$2:$AY$53,2,0))</f>
        <v/>
      </c>
      <c r="L16" t="str">
        <f>IF(Tables!L15="","",VLOOKUP(Tables!L15,Tables!$AX$2:$AY$53,2,0))</f>
        <v/>
      </c>
      <c r="M16" t="str">
        <f>IF(Tables!M15="","",VLOOKUP(Tables!M15,Tables!$AX$2:$AY$53,2,0))</f>
        <v/>
      </c>
      <c r="N16" t="str">
        <f>IF(Tables!N15="","",VLOOKUP(Tables!N15,Tables!$AX$2:$AY$53,2,0))</f>
        <v/>
      </c>
      <c r="O16" t="str">
        <f>IF(Tables!O15="","",VLOOKUP(Tables!O15,Tables!$AX$2:$AY$53,2,0))</f>
        <v/>
      </c>
      <c r="P16" t="str">
        <f>IF(Tables!P15="","",VLOOKUP(Tables!P15,Tables!$AX$2:$AY$53,2,0))</f>
        <v/>
      </c>
      <c r="Q16" t="str">
        <f>IF(Tables!Q15="","",VLOOKUP(Tables!Q15,Tables!$AX$2:$AY$53,2,0))</f>
        <v/>
      </c>
      <c r="R16" t="str">
        <f>IF(Tables!R15="","",VLOOKUP(Tables!R15,Tables!$AX$2:$AY$53,2,0))</f>
        <v/>
      </c>
      <c r="S16" t="str">
        <f>IF(Tables!S15="","",VLOOKUP(Tables!S15,Tables!$AX$2:$AY$53,2,0))</f>
        <v/>
      </c>
      <c r="T16" t="str">
        <f>IF(Tables!T15="","",VLOOKUP(Tables!T15,Tables!$AX$2:$AY$53,2,0))</f>
        <v/>
      </c>
      <c r="U16" t="str">
        <f>IF(Tables!U15="","",VLOOKUP(Tables!U15,Tables!$AX$2:$AY$53,2,0))</f>
        <v/>
      </c>
      <c r="V16" t="str">
        <f>IF(Tables!V15="","",VLOOKUP(Tables!V15,Tables!$AX$2:$AY$53,2,0))</f>
        <v/>
      </c>
      <c r="W16" s="38" t="str">
        <f>IF(Tables!W15="","",VLOOKUP(Tables!W15,Tables!$AX$2:$AY$53,2,0))</f>
        <v/>
      </c>
    </row>
    <row r="17" spans="7:23" ht="15.75" thickBot="1" x14ac:dyDescent="0.3">
      <c r="G17" s="70" t="str">
        <f>IF(OR(Tables!Z16="",Tables!Z16=0),"",VLOOKUP(Tables!Z16,Tables!$AX$2:$AY$53,2,0))</f>
        <v/>
      </c>
      <c r="J17" s="47">
        <v>15</v>
      </c>
      <c r="K17" s="39" t="str">
        <f>IF(Tables!K16="","",VLOOKUP(Tables!K16,Tables!$AX$2:$AY$53,2,0))</f>
        <v/>
      </c>
      <c r="L17" s="40" t="str">
        <f>IF(Tables!L16="","",VLOOKUP(Tables!L16,Tables!$AX$2:$AY$53,2,0))</f>
        <v/>
      </c>
      <c r="M17" s="40" t="str">
        <f>IF(Tables!M16="","",VLOOKUP(Tables!M16,Tables!$AX$2:$AY$53,2,0))</f>
        <v/>
      </c>
      <c r="N17" s="40" t="str">
        <f>IF(Tables!N16="","",VLOOKUP(Tables!N16,Tables!$AX$2:$AY$53,2,0))</f>
        <v/>
      </c>
      <c r="O17" s="40" t="str">
        <f>IF(Tables!O16="","",VLOOKUP(Tables!O16,Tables!$AX$2:$AY$53,2,0))</f>
        <v/>
      </c>
      <c r="P17" s="40" t="str">
        <f>IF(Tables!P16="","",VLOOKUP(Tables!P16,Tables!$AX$2:$AY$53,2,0))</f>
        <v/>
      </c>
      <c r="Q17" s="40" t="str">
        <f>IF(Tables!Q16="","",VLOOKUP(Tables!Q16,Tables!$AX$2:$AY$53,2,0))</f>
        <v/>
      </c>
      <c r="R17" s="40" t="str">
        <f>IF(Tables!R16="","",VLOOKUP(Tables!R16,Tables!$AX$2:$AY$53,2,0))</f>
        <v/>
      </c>
      <c r="S17" s="40" t="str">
        <f>IF(Tables!S16="","",VLOOKUP(Tables!S16,Tables!$AX$2:$AY$53,2,0))</f>
        <v/>
      </c>
      <c r="T17" s="40" t="str">
        <f>IF(Tables!T16="","",VLOOKUP(Tables!T16,Tables!$AX$2:$AY$53,2,0))</f>
        <v/>
      </c>
      <c r="U17" s="40" t="str">
        <f>IF(Tables!U16="","",VLOOKUP(Tables!U16,Tables!$AX$2:$AY$53,2,0))</f>
        <v/>
      </c>
      <c r="V17" s="40" t="str">
        <f>IF(Tables!V16="","",VLOOKUP(Tables!V16,Tables!$AX$2:$AY$53,2,0))</f>
        <v/>
      </c>
      <c r="W17" s="41" t="str">
        <f>IF(Tables!W16="","",VLOOKUP(Tables!W16,Tables!$AX$2:$AY$53,2,0))</f>
        <v/>
      </c>
    </row>
    <row r="18" spans="7:23" x14ac:dyDescent="0.25">
      <c r="G18" s="71" t="str">
        <f>IF(OR(Tables!Z17="",Tables!Z17=0),"",VLOOKUP(Tables!Z17,Tables!$AX$2:$AY$53,2,0))</f>
        <v/>
      </c>
    </row>
    <row r="20" spans="7:23" ht="15.75" thickBot="1" x14ac:dyDescent="0.3"/>
    <row r="21" spans="7:23" x14ac:dyDescent="0.25">
      <c r="J21" s="273" t="s">
        <v>149</v>
      </c>
      <c r="K21" s="274"/>
      <c r="L21" s="274"/>
      <c r="M21" s="274"/>
      <c r="N21" s="274"/>
      <c r="O21" s="274"/>
      <c r="P21" s="274"/>
      <c r="Q21" s="274"/>
      <c r="R21" s="274"/>
      <c r="S21" s="274"/>
      <c r="T21" s="274"/>
      <c r="U21" s="274"/>
      <c r="V21" s="274"/>
      <c r="W21" s="275"/>
    </row>
    <row r="22" spans="7:23" x14ac:dyDescent="0.25">
      <c r="J22" s="276"/>
      <c r="K22" s="277"/>
      <c r="L22" s="277"/>
      <c r="M22" s="277"/>
      <c r="N22" s="277"/>
      <c r="O22" s="277"/>
      <c r="P22" s="277"/>
      <c r="Q22" s="277"/>
      <c r="R22" s="277"/>
      <c r="S22" s="277"/>
      <c r="T22" s="277"/>
      <c r="U22" s="277"/>
      <c r="V22" s="277"/>
      <c r="W22" s="278"/>
    </row>
    <row r="23" spans="7:23" x14ac:dyDescent="0.25">
      <c r="J23" s="276"/>
      <c r="K23" s="277"/>
      <c r="L23" s="277"/>
      <c r="M23" s="277"/>
      <c r="N23" s="277"/>
      <c r="O23" s="277"/>
      <c r="P23" s="277"/>
      <c r="Q23" s="277"/>
      <c r="R23" s="277"/>
      <c r="S23" s="277"/>
      <c r="T23" s="277"/>
      <c r="U23" s="277"/>
      <c r="V23" s="277"/>
      <c r="W23" s="278"/>
    </row>
    <row r="24" spans="7:23" x14ac:dyDescent="0.25">
      <c r="J24" s="276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8"/>
    </row>
    <row r="25" spans="7:23" x14ac:dyDescent="0.25">
      <c r="J25" s="276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8"/>
    </row>
    <row r="26" spans="7:23" x14ac:dyDescent="0.25">
      <c r="J26" s="276"/>
      <c r="K26" s="277"/>
      <c r="L26" s="277"/>
      <c r="M26" s="277"/>
      <c r="N26" s="277"/>
      <c r="O26" s="277"/>
      <c r="P26" s="277"/>
      <c r="Q26" s="277"/>
      <c r="R26" s="277"/>
      <c r="S26" s="277"/>
      <c r="T26" s="277"/>
      <c r="U26" s="277"/>
      <c r="V26" s="277"/>
      <c r="W26" s="278"/>
    </row>
    <row r="27" spans="7:23" x14ac:dyDescent="0.25">
      <c r="J27" s="276"/>
      <c r="K27" s="277"/>
      <c r="L27" s="277"/>
      <c r="M27" s="277"/>
      <c r="N27" s="277"/>
      <c r="O27" s="277"/>
      <c r="P27" s="277"/>
      <c r="Q27" s="277"/>
      <c r="R27" s="277"/>
      <c r="S27" s="277"/>
      <c r="T27" s="277"/>
      <c r="U27" s="277"/>
      <c r="V27" s="277"/>
      <c r="W27" s="278"/>
    </row>
    <row r="28" spans="7:23" x14ac:dyDescent="0.25">
      <c r="J28" s="276"/>
      <c r="K28" s="277"/>
      <c r="L28" s="277"/>
      <c r="M28" s="277"/>
      <c r="N28" s="277"/>
      <c r="O28" s="277"/>
      <c r="P28" s="277"/>
      <c r="Q28" s="277"/>
      <c r="R28" s="277"/>
      <c r="S28" s="277"/>
      <c r="T28" s="277"/>
      <c r="U28" s="277"/>
      <c r="V28" s="277"/>
      <c r="W28" s="278"/>
    </row>
    <row r="29" spans="7:23" x14ac:dyDescent="0.25">
      <c r="J29" s="276"/>
      <c r="K29" s="277"/>
      <c r="L29" s="277"/>
      <c r="M29" s="277"/>
      <c r="N29" s="277"/>
      <c r="O29" s="277"/>
      <c r="P29" s="277"/>
      <c r="Q29" s="277"/>
      <c r="R29" s="277"/>
      <c r="S29" s="277"/>
      <c r="T29" s="277"/>
      <c r="U29" s="277"/>
      <c r="V29" s="277"/>
      <c r="W29" s="278"/>
    </row>
    <row r="30" spans="7:23" x14ac:dyDescent="0.25">
      <c r="J30" s="276"/>
      <c r="K30" s="277"/>
      <c r="L30" s="277"/>
      <c r="M30" s="277"/>
      <c r="N30" s="277"/>
      <c r="O30" s="277"/>
      <c r="P30" s="277"/>
      <c r="Q30" s="277"/>
      <c r="R30" s="277"/>
      <c r="S30" s="277"/>
      <c r="T30" s="277"/>
      <c r="U30" s="277"/>
      <c r="V30" s="277"/>
      <c r="W30" s="278"/>
    </row>
    <row r="31" spans="7:23" x14ac:dyDescent="0.25">
      <c r="J31" s="276"/>
      <c r="K31" s="277"/>
      <c r="L31" s="277"/>
      <c r="M31" s="277"/>
      <c r="N31" s="277"/>
      <c r="O31" s="277"/>
      <c r="P31" s="277"/>
      <c r="Q31" s="277"/>
      <c r="R31" s="277"/>
      <c r="S31" s="277"/>
      <c r="T31" s="277"/>
      <c r="U31" s="277"/>
      <c r="V31" s="277"/>
      <c r="W31" s="278"/>
    </row>
    <row r="32" spans="7:23" ht="15.75" thickBot="1" x14ac:dyDescent="0.3">
      <c r="J32" s="279"/>
      <c r="K32" s="280"/>
      <c r="L32" s="280"/>
      <c r="M32" s="280"/>
      <c r="N32" s="280"/>
      <c r="O32" s="280"/>
      <c r="P32" s="280"/>
      <c r="Q32" s="280"/>
      <c r="R32" s="280"/>
      <c r="S32" s="280"/>
      <c r="T32" s="280"/>
      <c r="U32" s="280"/>
      <c r="V32" s="280"/>
      <c r="W32" s="281"/>
    </row>
  </sheetData>
  <mergeCells count="1">
    <mergeCell ref="J21:W32"/>
  </mergeCells>
  <conditionalFormatting sqref="K3:W17">
    <cfRule type="containsText" dxfId="22" priority="3" operator="containsText" text="♦">
      <formula>NOT(ISERROR(SEARCH("♦",K3)))</formula>
    </cfRule>
    <cfRule type="containsText" dxfId="21" priority="4" operator="containsText" text="♥">
      <formula>NOT(ISERROR(SEARCH("♥",K3)))</formula>
    </cfRule>
  </conditionalFormatting>
  <conditionalFormatting sqref="G3:G17">
    <cfRule type="containsText" dxfId="20" priority="1" operator="containsText" text="♦">
      <formula>NOT(ISERROR(SEARCH("♦",G3)))</formula>
    </cfRule>
    <cfRule type="containsText" dxfId="19" priority="2" operator="containsText" text="♥">
      <formula>NOT(ISERROR(SEARCH("♥",G3)))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A85C8-C572-46D8-855D-277C0AB7D811}">
  <sheetPr codeName="Sheet8">
    <tabColor theme="1"/>
  </sheetPr>
  <dimension ref="A1:AN35"/>
  <sheetViews>
    <sheetView workbookViewId="0">
      <selection activeCell="J38" sqref="J38"/>
    </sheetView>
  </sheetViews>
  <sheetFormatPr defaultRowHeight="15" x14ac:dyDescent="0.25"/>
  <cols>
    <col min="1" max="1" width="18.5703125" bestFit="1" customWidth="1"/>
    <col min="2" max="2" width="17" bestFit="1" customWidth="1"/>
    <col min="3" max="3" width="12.85546875" style="20" bestFit="1" customWidth="1"/>
    <col min="4" max="4" width="15" bestFit="1" customWidth="1"/>
    <col min="5" max="5" width="18.7109375" bestFit="1" customWidth="1"/>
    <col min="6" max="6" width="8.28515625" bestFit="1" customWidth="1"/>
    <col min="7" max="7" width="6.5703125" bestFit="1" customWidth="1"/>
    <col min="8" max="8" width="9" bestFit="1" customWidth="1"/>
    <col min="9" max="9" width="8.28515625" bestFit="1" customWidth="1"/>
    <col min="10" max="10" width="17" bestFit="1" customWidth="1"/>
    <col min="11" max="11" width="8.28515625" bestFit="1" customWidth="1"/>
    <col min="12" max="12" width="8.85546875" bestFit="1" customWidth="1"/>
    <col min="13" max="13" width="8" bestFit="1" customWidth="1"/>
    <col min="14" max="14" width="8.28515625" bestFit="1" customWidth="1"/>
    <col min="15" max="15" width="8.85546875" customWidth="1"/>
    <col min="16" max="16" width="8" customWidth="1"/>
    <col min="17" max="19" width="9.140625" customWidth="1"/>
    <col min="20" max="20" width="6" bestFit="1" customWidth="1"/>
    <col min="21" max="21" width="8.28515625" bestFit="1" customWidth="1"/>
    <col min="22" max="22" width="6" bestFit="1" customWidth="1"/>
    <col min="23" max="23" width="5.42578125" bestFit="1" customWidth="1"/>
    <col min="24" max="24" width="4.28515625" bestFit="1" customWidth="1"/>
    <col min="25" max="26" width="8" bestFit="1" customWidth="1"/>
    <col min="27" max="27" width="8.28515625" bestFit="1" customWidth="1"/>
    <col min="28" max="30" width="9.140625" customWidth="1"/>
    <col min="33" max="33" width="8.28515625" bestFit="1" customWidth="1"/>
    <col min="34" max="34" width="17" bestFit="1" customWidth="1"/>
    <col min="35" max="35" width="8.28515625" bestFit="1" customWidth="1"/>
    <col min="36" max="36" width="8.85546875" bestFit="1" customWidth="1"/>
    <col min="37" max="37" width="5.42578125" bestFit="1" customWidth="1"/>
    <col min="38" max="38" width="4.28515625" bestFit="1" customWidth="1"/>
  </cols>
  <sheetData>
    <row r="1" spans="1:40" ht="15.75" thickBot="1" x14ac:dyDescent="0.3">
      <c r="A1" s="299" t="s">
        <v>114</v>
      </c>
      <c r="B1" s="300"/>
      <c r="C1" s="104" t="s">
        <v>117</v>
      </c>
      <c r="D1" s="136" t="s">
        <v>130</v>
      </c>
      <c r="G1" s="296" t="s">
        <v>7</v>
      </c>
      <c r="H1" s="297"/>
      <c r="I1" s="297"/>
      <c r="J1" s="297"/>
      <c r="K1" s="297"/>
      <c r="L1" s="297"/>
      <c r="M1" s="298"/>
      <c r="N1" s="24"/>
      <c r="O1" s="24"/>
      <c r="P1" s="24"/>
      <c r="T1" s="301" t="s">
        <v>71</v>
      </c>
      <c r="U1" s="302"/>
      <c r="V1" s="302"/>
      <c r="W1" s="302"/>
      <c r="X1" s="302"/>
      <c r="Y1" s="302"/>
      <c r="Z1" s="302"/>
      <c r="AA1" s="302"/>
      <c r="AF1" s="282" t="s">
        <v>70</v>
      </c>
      <c r="AG1" s="283"/>
      <c r="AH1" s="283"/>
      <c r="AI1" s="283"/>
      <c r="AJ1" s="283"/>
      <c r="AK1" s="283"/>
      <c r="AL1" s="284"/>
    </row>
    <row r="2" spans="1:40" x14ac:dyDescent="0.25">
      <c r="A2" s="97" t="s">
        <v>7</v>
      </c>
      <c r="B2" s="73">
        <f>SUM(COUNTIF(I3:I6,TRUE),COUNTIF(I7:I10,TRUE))</f>
        <v>0</v>
      </c>
      <c r="C2" s="105">
        <f>SUM(COUNTIF(J3:J6,TRUE),COUNTIF(J7:J10,TRUE))</f>
        <v>0</v>
      </c>
      <c r="D2" s="137">
        <v>1</v>
      </c>
      <c r="G2" s="127" t="s">
        <v>98</v>
      </c>
      <c r="H2" s="128" t="s">
        <v>129</v>
      </c>
      <c r="I2" s="128" t="s">
        <v>99</v>
      </c>
      <c r="J2" s="129" t="s">
        <v>116</v>
      </c>
      <c r="K2" s="128" t="s">
        <v>105</v>
      </c>
      <c r="L2" s="128" t="s">
        <v>118</v>
      </c>
      <c r="M2" s="130" t="s">
        <v>122</v>
      </c>
      <c r="N2" s="23" t="s">
        <v>144</v>
      </c>
      <c r="O2" s="25" t="s">
        <v>145</v>
      </c>
      <c r="T2" s="73" t="s">
        <v>102</v>
      </c>
      <c r="U2" s="73" t="s">
        <v>99</v>
      </c>
      <c r="V2" s="73" t="s">
        <v>100</v>
      </c>
      <c r="W2" s="73" t="s">
        <v>96</v>
      </c>
      <c r="X2" s="73" t="s">
        <v>98</v>
      </c>
      <c r="Y2" s="73" t="s">
        <v>112</v>
      </c>
      <c r="Z2" s="73" t="s">
        <v>111</v>
      </c>
      <c r="AA2" s="73" t="s">
        <v>105</v>
      </c>
      <c r="AB2" s="73" t="s">
        <v>102</v>
      </c>
      <c r="AF2" s="97" t="s">
        <v>101</v>
      </c>
      <c r="AG2" s="73" t="s">
        <v>99</v>
      </c>
      <c r="AH2" s="96" t="s">
        <v>116</v>
      </c>
      <c r="AI2" s="73" t="s">
        <v>105</v>
      </c>
      <c r="AJ2" s="73" t="s">
        <v>118</v>
      </c>
      <c r="AK2" s="73" t="s">
        <v>96</v>
      </c>
      <c r="AL2" s="98" t="s">
        <v>98</v>
      </c>
      <c r="AM2" s="3" t="s">
        <v>101</v>
      </c>
      <c r="AN2" s="89" t="s">
        <v>105</v>
      </c>
    </row>
    <row r="3" spans="1:40" x14ac:dyDescent="0.25">
      <c r="A3" s="97" t="s">
        <v>70</v>
      </c>
      <c r="B3" s="73">
        <f>COUNTIF(AG3:AG15,TRUE)</f>
        <v>0</v>
      </c>
      <c r="C3" s="105">
        <f>COUNTIF(AH3:AH15,TRUE)</f>
        <v>0</v>
      </c>
      <c r="D3" s="138">
        <v>2</v>
      </c>
      <c r="G3" s="150" t="s">
        <v>18</v>
      </c>
      <c r="H3" s="16" t="s">
        <v>120</v>
      </c>
      <c r="I3" s="16" t="b">
        <v>0</v>
      </c>
      <c r="J3" s="16" t="b">
        <v>0</v>
      </c>
      <c r="K3" s="16" t="b">
        <f>Tables!AG18</f>
        <v>1</v>
      </c>
      <c r="L3" s="16" t="b" cm="1">
        <f t="array" ref="L3">IF(K3,FALSE,INDEX(Tables!AF2:AF14,Tables!AF18))</f>
        <v>0</v>
      </c>
      <c r="M3" s="113" t="str">
        <f>IF(K3,Tables!AE18,VLOOKUP(L3,Tables!AX:BC,5,0))</f>
        <v>1 - ♠</v>
      </c>
      <c r="N3" s="26">
        <v>1</v>
      </c>
      <c r="O3" s="27" cm="1">
        <f t="array" ref="O3:O6">VLOOKUP(G3:G6,Tables!$AE$18:$AF$21,2,0)</f>
        <v>0</v>
      </c>
      <c r="T3" s="73">
        <v>1</v>
      </c>
      <c r="U3" s="73" t="b">
        <v>0</v>
      </c>
      <c r="V3" s="73" t="str">
        <f>IF(AA3,"",Tables!Z2)</f>
        <v/>
      </c>
      <c r="W3" s="73" t="str">
        <f>IFERROR(VLOOKUP(V3,Tables!$AX$2:$BC$53,3,0),"")</f>
        <v/>
      </c>
      <c r="X3" s="73" t="str">
        <f>IFERROR(VLOOKUP(V3,Tables!$AX$2:$BC$53,4,0),"")</f>
        <v/>
      </c>
      <c r="Y3" s="73" t="str">
        <f>IFERROR(VLOOKUP(V3,Tables!$AX$2:$BC$53,5,0),"")</f>
        <v/>
      </c>
      <c r="Z3" s="73" t="str">
        <f>IFERROR(VLOOKUP(V3,Tables!$AX$2:$BC$53,6,0),"")</f>
        <v/>
      </c>
      <c r="AA3" s="73" t="b">
        <f>IF(Tables!Z2 = 0,TRUE,FALSE)</f>
        <v>1</v>
      </c>
      <c r="AB3" s="73">
        <v>1</v>
      </c>
      <c r="AF3" s="97">
        <v>1</v>
      </c>
      <c r="AG3" s="87" t="b">
        <v>0</v>
      </c>
      <c r="AH3" s="73" t="b">
        <v>0</v>
      </c>
      <c r="AI3" s="88" t="b">
        <f>IF(COUNTA(Tables!K2:K16)&gt;0, FALSE,TRUE)</f>
        <v>0</v>
      </c>
      <c r="AJ3" s="73" t="str" cm="1">
        <f t="array" ref="AJ3">IF(AI3,FALSE,INDEX(Tables!K2:K16,COUNTA(Tables!K2:K16)))</f>
        <v>9 - ♣</v>
      </c>
      <c r="AK3" s="73">
        <f>IFERROR(VLOOKUP(AJ3,Tables!$AX$2:$BC$53,3,0),"")</f>
        <v>9</v>
      </c>
      <c r="AL3" s="98" t="str">
        <f>IFERROR(VLOOKUP(AJ3,Tables!$AX$2:$BC$53,4,0),"")</f>
        <v>♣</v>
      </c>
      <c r="AM3" s="2">
        <v>1</v>
      </c>
      <c r="AN3" s="3" t="b">
        <f>AI3</f>
        <v>0</v>
      </c>
    </row>
    <row r="4" spans="1:40" ht="15.75" thickBot="1" x14ac:dyDescent="0.3">
      <c r="A4" s="97" t="s">
        <v>71</v>
      </c>
      <c r="B4" s="73">
        <f>COUNTIF(U3:U18,TRUE)</f>
        <v>0</v>
      </c>
      <c r="C4" s="105">
        <v>0</v>
      </c>
      <c r="D4" s="139">
        <v>3</v>
      </c>
      <c r="G4" s="151" t="s">
        <v>31</v>
      </c>
      <c r="H4" s="16" t="s">
        <v>120</v>
      </c>
      <c r="I4" s="16" t="b">
        <v>0</v>
      </c>
      <c r="J4" s="16" t="b">
        <v>0</v>
      </c>
      <c r="K4" s="16" t="b">
        <f>Tables!AG19</f>
        <v>1</v>
      </c>
      <c r="L4" s="16" t="b" cm="1">
        <f t="array" ref="L4">IF(K4,FALSE,INDEX(Tables!AG2:AG14,Tables!AF19))</f>
        <v>0</v>
      </c>
      <c r="M4" s="113" t="str">
        <f>IF(K4,Tables!AE19,VLOOKUP(L4,Tables!AX:BC,5,0))</f>
        <v>1 - ♥</v>
      </c>
      <c r="N4" s="26">
        <v>2</v>
      </c>
      <c r="O4" s="27">
        <v>0</v>
      </c>
      <c r="T4" s="73">
        <v>2</v>
      </c>
      <c r="U4" s="73" t="b">
        <v>0</v>
      </c>
      <c r="V4" s="73" t="str">
        <f>IF(AA4,"",Tables!Z3)</f>
        <v/>
      </c>
      <c r="W4" s="73" t="str">
        <f>IFERROR(VLOOKUP(V4,Tables!$AX$2:$BC$53,3,0),"")</f>
        <v/>
      </c>
      <c r="X4" s="73" t="str">
        <f>IFERROR(VLOOKUP(V4,Tables!$AX$2:$BC$53,4,0),"")</f>
        <v/>
      </c>
      <c r="Y4" s="73" t="str">
        <f>IFERROR(VLOOKUP(V4,Tables!$AX$2:$BC$53,5,0),"")</f>
        <v/>
      </c>
      <c r="Z4" s="73" t="str">
        <f>IFERROR(VLOOKUP(V4,Tables!$AX$2:$BC$53,6,0),"")</f>
        <v/>
      </c>
      <c r="AA4" s="73" t="b">
        <f>IF(Tables!Z3 = 0,TRUE,FALSE)</f>
        <v>1</v>
      </c>
      <c r="AB4" s="73">
        <v>2</v>
      </c>
      <c r="AF4" s="97">
        <v>2</v>
      </c>
      <c r="AG4" s="87" t="b">
        <v>0</v>
      </c>
      <c r="AH4" s="73" t="b">
        <v>0</v>
      </c>
      <c r="AI4" s="88" t="b">
        <f>IF(COUNTA(Tables!L2:L16)&gt;0, FALSE,TRUE)</f>
        <v>0</v>
      </c>
      <c r="AJ4" s="73" t="str" cm="1">
        <f t="array" ref="AJ4">IF(AI4,FALSE,INDEX(Tables!L2:L16,COUNTA(Tables!L2:L16)))</f>
        <v>12 - ♠</v>
      </c>
      <c r="AK4" s="73">
        <f>IFERROR(VLOOKUP(AJ4,Tables!$AX$2:$BC$53,3,0),"")</f>
        <v>12</v>
      </c>
      <c r="AL4" s="98" t="str">
        <f>IFERROR(VLOOKUP(AJ4,Tables!$AX$2:$BC$53,4,0),"")</f>
        <v>♠</v>
      </c>
      <c r="AM4">
        <v>2</v>
      </c>
      <c r="AN4" s="15" t="b">
        <f t="shared" ref="AN4:AN15" si="0">AI4</f>
        <v>0</v>
      </c>
    </row>
    <row r="5" spans="1:40" ht="15.75" thickBot="1" x14ac:dyDescent="0.3">
      <c r="A5" s="106" t="s">
        <v>113</v>
      </c>
      <c r="B5" s="107">
        <f>SUM(B2:B4)</f>
        <v>0</v>
      </c>
      <c r="C5" s="108">
        <f>SUM(C2:C4)</f>
        <v>0</v>
      </c>
      <c r="G5" s="150" t="s">
        <v>44</v>
      </c>
      <c r="H5" s="16" t="s">
        <v>120</v>
      </c>
      <c r="I5" s="16" t="b">
        <v>0</v>
      </c>
      <c r="J5" s="16" t="b">
        <v>0</v>
      </c>
      <c r="K5" s="16" t="b">
        <f>Tables!AG20</f>
        <v>1</v>
      </c>
      <c r="L5" s="16" t="b" cm="1">
        <f t="array" ref="L5">IF(K5,FALSE,INDEX(Tables!AH2:AH14,Tables!AF20))</f>
        <v>0</v>
      </c>
      <c r="M5" s="113" t="str">
        <f>IF(K5,Tables!AE20,VLOOKUP(L5,Tables!AX:BC,5,0))</f>
        <v>1 - ♣</v>
      </c>
      <c r="N5" s="26">
        <v>3</v>
      </c>
      <c r="O5" s="27">
        <v>0</v>
      </c>
      <c r="T5" s="73">
        <v>3</v>
      </c>
      <c r="U5" s="73" t="b">
        <v>0</v>
      </c>
      <c r="V5" s="73" t="str">
        <f>IF(AA5,"",Tables!Z4)</f>
        <v/>
      </c>
      <c r="W5" s="73" t="str">
        <f>IFERROR(VLOOKUP(V5,Tables!$AX$2:$BC$53,3,0),"")</f>
        <v/>
      </c>
      <c r="X5" s="73" t="str">
        <f>IFERROR(VLOOKUP(V5,Tables!$AX$2:$BC$53,4,0),"")</f>
        <v/>
      </c>
      <c r="Y5" s="73" t="str">
        <f>IFERROR(VLOOKUP(V5,Tables!$AX$2:$BC$53,5,0),"")</f>
        <v/>
      </c>
      <c r="Z5" s="73" t="str">
        <f>IFERROR(VLOOKUP(V5,Tables!$AX$2:$BC$53,6,0),"")</f>
        <v/>
      </c>
      <c r="AA5" s="73" t="b">
        <f>IF(Tables!Z4 = 0,TRUE,FALSE)</f>
        <v>1</v>
      </c>
      <c r="AB5" s="73">
        <v>3</v>
      </c>
      <c r="AF5" s="97">
        <v>3</v>
      </c>
      <c r="AG5" s="87" t="b">
        <v>0</v>
      </c>
      <c r="AH5" s="73" t="b">
        <v>0</v>
      </c>
      <c r="AI5" s="88" t="b">
        <f>IF(COUNTA(Tables!M2:M16)&gt;0, FALSE,TRUE)</f>
        <v>0</v>
      </c>
      <c r="AJ5" s="73" t="str" cm="1">
        <f t="array" ref="AJ5">IF(AI5,FALSE,INDEX(Tables!M2:M16,COUNTA(Tables!M2:M16)))</f>
        <v>4 - ♠</v>
      </c>
      <c r="AK5" s="73">
        <f>IFERROR(VLOOKUP(AJ5,Tables!$AX$2:$BC$53,3,0),"")</f>
        <v>4</v>
      </c>
      <c r="AL5" s="98" t="str">
        <f>IFERROR(VLOOKUP(AJ5,Tables!$AX$2:$BC$53,4,0),"")</f>
        <v>♠</v>
      </c>
      <c r="AM5">
        <v>3</v>
      </c>
      <c r="AN5" s="15" t="b">
        <f t="shared" si="0"/>
        <v>0</v>
      </c>
    </row>
    <row r="6" spans="1:40" ht="15.75" thickBot="1" x14ac:dyDescent="0.3">
      <c r="G6" s="153" t="s">
        <v>57</v>
      </c>
      <c r="H6" s="7" t="s">
        <v>120</v>
      </c>
      <c r="I6" s="7" t="b">
        <v>0</v>
      </c>
      <c r="J6" s="7" t="b">
        <v>0</v>
      </c>
      <c r="K6" s="7" t="b">
        <f>Tables!AG21</f>
        <v>1</v>
      </c>
      <c r="L6" s="7" t="b" cm="1">
        <f t="array" ref="L6">IF(K6,FALSE,INDEX(Tables!AI2:AI14,Tables!AF21))</f>
        <v>0</v>
      </c>
      <c r="M6" s="131" t="str">
        <f>IF(K6,Tables!AE21,VLOOKUP(L6,Tables!AX:BC,5,0))</f>
        <v>1 - ♦</v>
      </c>
      <c r="N6" s="26">
        <v>4</v>
      </c>
      <c r="O6" s="27">
        <v>0</v>
      </c>
      <c r="T6" s="73">
        <v>4</v>
      </c>
      <c r="U6" s="73" t="b">
        <v>0</v>
      </c>
      <c r="V6" s="73" t="str">
        <f>IF(AA6,"",Tables!Z5)</f>
        <v/>
      </c>
      <c r="W6" s="73" t="str">
        <f>IFERROR(VLOOKUP(V6,Tables!$AX$2:$BC$53,3,0),"")</f>
        <v/>
      </c>
      <c r="X6" s="73" t="str">
        <f>IFERROR(VLOOKUP(V6,Tables!$AX$2:$BC$53,4,0),"")</f>
        <v/>
      </c>
      <c r="Y6" s="73" t="str">
        <f>IFERROR(VLOOKUP(V6,Tables!$AX$2:$BC$53,5,0),"")</f>
        <v/>
      </c>
      <c r="Z6" s="73" t="str">
        <f>IFERROR(VLOOKUP(V6,Tables!$AX$2:$BC$53,6,0),"")</f>
        <v/>
      </c>
      <c r="AA6" s="73" t="b">
        <f>IF(Tables!Z5 = 0,TRUE,FALSE)</f>
        <v>1</v>
      </c>
      <c r="AB6" s="73">
        <v>4</v>
      </c>
      <c r="AF6" s="97">
        <v>4</v>
      </c>
      <c r="AG6" s="87" t="b">
        <v>0</v>
      </c>
      <c r="AH6" s="73" t="b">
        <v>0</v>
      </c>
      <c r="AI6" s="88" t="b">
        <f>IF(COUNTA(Tables!N2:N16)&gt;0, FALSE,TRUE)</f>
        <v>0</v>
      </c>
      <c r="AJ6" s="73" t="str" cm="1">
        <f t="array" ref="AJ6">IF(AI6,FALSE,INDEX(Tables!N2:N16,COUNTA(Tables!N2:N16)))</f>
        <v>9 - ♠</v>
      </c>
      <c r="AK6" s="73">
        <f>IFERROR(VLOOKUP(AJ6,Tables!$AX$2:$BC$53,3,0),"")</f>
        <v>9</v>
      </c>
      <c r="AL6" s="98" t="str">
        <f>IFERROR(VLOOKUP(AJ6,Tables!$AX$2:$BC$53,4,0),"")</f>
        <v>♠</v>
      </c>
      <c r="AM6">
        <v>4</v>
      </c>
      <c r="AN6" s="15" t="b">
        <f t="shared" si="0"/>
        <v>0</v>
      </c>
    </row>
    <row r="7" spans="1:40" ht="15.75" thickBot="1" x14ac:dyDescent="0.3">
      <c r="G7" s="154" t="s">
        <v>30</v>
      </c>
      <c r="H7" s="128" t="s">
        <v>121</v>
      </c>
      <c r="I7" s="128" t="b">
        <v>0</v>
      </c>
      <c r="J7" s="128" t="b">
        <v>0</v>
      </c>
      <c r="K7" s="128" t="b">
        <f>Tables!AM18</f>
        <v>1</v>
      </c>
      <c r="L7" s="128" t="b" cm="1">
        <f t="array" ref="L7">IF(K7,FALSE,INDEX(Tables!AL2:AL14,Tables!AL18))</f>
        <v>0</v>
      </c>
      <c r="M7" s="130" t="str">
        <f>IF(K7,Tables!AK18,VLOOKUP(L7,Tables!AX:BC,6,0))</f>
        <v>13 - ♠</v>
      </c>
      <c r="N7" s="26">
        <v>5</v>
      </c>
      <c r="O7" s="27" cm="1">
        <f t="array" ref="O7:O10">VLOOKUP(G7:G10,Tables!$AK$18:$AL$21,2,0)</f>
        <v>0</v>
      </c>
      <c r="T7" s="73">
        <v>5</v>
      </c>
      <c r="U7" s="73" t="b">
        <v>0</v>
      </c>
      <c r="V7" s="73" t="str">
        <f>IF(AA7,"",Tables!Z6)</f>
        <v/>
      </c>
      <c r="W7" s="73" t="str">
        <f>IFERROR(VLOOKUP(V7,Tables!$AX$2:$BC$53,3,0),"")</f>
        <v/>
      </c>
      <c r="X7" s="73" t="str">
        <f>IFERROR(VLOOKUP(V7,Tables!$AX$2:$BC$53,4,0),"")</f>
        <v/>
      </c>
      <c r="Y7" s="73" t="str">
        <f>IFERROR(VLOOKUP(V7,Tables!$AX$2:$BC$53,5,0),"")</f>
        <v/>
      </c>
      <c r="Z7" s="73" t="str">
        <f>IFERROR(VLOOKUP(V7,Tables!$AX$2:$BC$53,6,0),"")</f>
        <v/>
      </c>
      <c r="AA7" s="73" t="b">
        <f>IF(Tables!Z6 = 0,TRUE,FALSE)</f>
        <v>1</v>
      </c>
      <c r="AB7" s="73">
        <v>5</v>
      </c>
      <c r="AF7" s="97">
        <v>5</v>
      </c>
      <c r="AG7" s="87" t="b">
        <v>0</v>
      </c>
      <c r="AH7" s="73" t="b">
        <v>0</v>
      </c>
      <c r="AI7" s="88" t="b">
        <f>IF(COUNTA(Tables!O2:O16)&gt;0, FALSE,TRUE)</f>
        <v>0</v>
      </c>
      <c r="AJ7" s="73" t="str" cm="1">
        <f t="array" ref="AJ7">IF(AI7,FALSE,INDEX(Tables!O2:O16,COUNTA(Tables!O2:O16)))</f>
        <v>1 - ♥</v>
      </c>
      <c r="AK7" s="73">
        <f>IFERROR(VLOOKUP(AJ7,Tables!$AX$2:$BC$53,3,0),"")</f>
        <v>1</v>
      </c>
      <c r="AL7" s="98" t="str">
        <f>IFERROR(VLOOKUP(AJ7,Tables!$AX$2:$BC$53,4,0),"")</f>
        <v>♥</v>
      </c>
      <c r="AM7">
        <v>5</v>
      </c>
      <c r="AN7" s="15" t="b">
        <f t="shared" si="0"/>
        <v>0</v>
      </c>
    </row>
    <row r="8" spans="1:40" x14ac:dyDescent="0.25">
      <c r="A8" s="294" t="s">
        <v>138</v>
      </c>
      <c r="B8" s="295"/>
      <c r="C8" s="126" t="s">
        <v>133</v>
      </c>
      <c r="D8" s="130" t="s">
        <v>134</v>
      </c>
      <c r="G8" s="151" t="s">
        <v>43</v>
      </c>
      <c r="H8" s="16" t="s">
        <v>121</v>
      </c>
      <c r="I8" s="16" t="b">
        <v>0</v>
      </c>
      <c r="J8" s="16" t="b">
        <v>0</v>
      </c>
      <c r="K8" s="16" t="b">
        <f>Tables!AM19</f>
        <v>1</v>
      </c>
      <c r="L8" s="16" t="b" cm="1">
        <f t="array" ref="L8">IF(K8,FALSE,INDEX(Tables!AM2:AM14,Tables!AL19))</f>
        <v>0</v>
      </c>
      <c r="M8" s="113" t="str">
        <f>IF(K8,Tables!AK19,VLOOKUP(L8,Tables!AX:BC,6,0))</f>
        <v>13 - ♥</v>
      </c>
      <c r="N8" s="26">
        <v>6</v>
      </c>
      <c r="O8" s="27">
        <v>0</v>
      </c>
      <c r="T8" s="73">
        <v>6</v>
      </c>
      <c r="U8" s="73" t="b">
        <v>0</v>
      </c>
      <c r="V8" s="73" t="str">
        <f>IF(AA8,"",Tables!Z7)</f>
        <v/>
      </c>
      <c r="W8" s="73" t="str">
        <f>IFERROR(VLOOKUP(V8,Tables!$AX$2:$BC$53,3,0),"")</f>
        <v/>
      </c>
      <c r="X8" s="73" t="str">
        <f>IFERROR(VLOOKUP(V8,Tables!$AX$2:$BC$53,4,0),"")</f>
        <v/>
      </c>
      <c r="Y8" s="73" t="str">
        <f>IFERROR(VLOOKUP(V8,Tables!$AX$2:$BC$53,5,0),"")</f>
        <v/>
      </c>
      <c r="Z8" s="73" t="str">
        <f>IFERROR(VLOOKUP(V8,Tables!$AX$2:$BC$53,6,0),"")</f>
        <v/>
      </c>
      <c r="AA8" s="73" t="b">
        <f>IF(Tables!Z7 = 0,TRUE,FALSE)</f>
        <v>1</v>
      </c>
      <c r="AB8" s="73">
        <v>6</v>
      </c>
      <c r="AF8" s="97">
        <v>6</v>
      </c>
      <c r="AG8" s="87" t="b">
        <v>0</v>
      </c>
      <c r="AH8" s="73" t="b">
        <v>0</v>
      </c>
      <c r="AI8" s="88" t="b">
        <f>IF(COUNTA(Tables!P2:P16)&gt;0, FALSE,TRUE)</f>
        <v>0</v>
      </c>
      <c r="AJ8" s="73" t="str" cm="1">
        <f t="array" ref="AJ8">IF(AI8,FALSE,INDEX(Tables!P2:P16,COUNTA(Tables!P2:P16)))</f>
        <v>13 - ♣</v>
      </c>
      <c r="AK8" s="73">
        <f>IFERROR(VLOOKUP(AJ8,Tables!$AX$2:$BC$53,3,0),"")</f>
        <v>13</v>
      </c>
      <c r="AL8" s="98" t="str">
        <f>IFERROR(VLOOKUP(AJ8,Tables!$AX$2:$BC$53,4,0),"")</f>
        <v>♣</v>
      </c>
      <c r="AM8">
        <v>6</v>
      </c>
      <c r="AN8" s="15" t="b">
        <f t="shared" si="0"/>
        <v>0</v>
      </c>
    </row>
    <row r="9" spans="1:40" x14ac:dyDescent="0.25">
      <c r="A9" s="112" t="s">
        <v>128</v>
      </c>
      <c r="B9" s="113"/>
      <c r="C9" s="133"/>
      <c r="D9" s="134"/>
      <c r="G9" s="150" t="s">
        <v>56</v>
      </c>
      <c r="H9" s="16" t="s">
        <v>121</v>
      </c>
      <c r="I9" s="16" t="b">
        <v>0</v>
      </c>
      <c r="J9" s="16" t="b">
        <v>0</v>
      </c>
      <c r="K9" s="16" t="b">
        <f>Tables!AM20</f>
        <v>1</v>
      </c>
      <c r="L9" s="16" t="b" cm="1">
        <f t="array" ref="L9">IF(K9,FALSE,INDEX(Tables!AN2:AN14,Tables!AL20))</f>
        <v>0</v>
      </c>
      <c r="M9" s="113" t="str">
        <f>IF(K9,Tables!AK20,VLOOKUP(L9,Tables!AX:BC,6,0))</f>
        <v>13 - ♣</v>
      </c>
      <c r="N9" s="26">
        <v>7</v>
      </c>
      <c r="O9" s="27">
        <v>0</v>
      </c>
      <c r="T9" s="73">
        <v>7</v>
      </c>
      <c r="U9" s="73" t="b">
        <v>0</v>
      </c>
      <c r="V9" s="73" t="str">
        <f>IF(AA9,"",Tables!Z8)</f>
        <v/>
      </c>
      <c r="W9" s="73" t="str">
        <f>IFERROR(VLOOKUP(V9,Tables!$AX$2:$BC$53,3,0),"")</f>
        <v/>
      </c>
      <c r="X9" s="73" t="str">
        <f>IFERROR(VLOOKUP(V9,Tables!$AX$2:$BC$53,4,0),"")</f>
        <v/>
      </c>
      <c r="Y9" s="73" t="str">
        <f>IFERROR(VLOOKUP(V9,Tables!$AX$2:$BC$53,5,0),"")</f>
        <v/>
      </c>
      <c r="Z9" s="73" t="str">
        <f>IFERROR(VLOOKUP(V9,Tables!$AX$2:$BC$53,6,0),"")</f>
        <v/>
      </c>
      <c r="AA9" s="73" t="b">
        <f>IF(Tables!Z8 = 0,TRUE,FALSE)</f>
        <v>1</v>
      </c>
      <c r="AB9" s="73">
        <v>7</v>
      </c>
      <c r="AF9" s="97">
        <v>7</v>
      </c>
      <c r="AG9" s="87" t="b">
        <v>0</v>
      </c>
      <c r="AH9" s="73" t="b">
        <v>0</v>
      </c>
      <c r="AI9" s="88" t="b">
        <f>IF(COUNTA(Tables!Q2:Q16)&gt;0, FALSE,TRUE)</f>
        <v>0</v>
      </c>
      <c r="AJ9" s="73" t="str" cm="1">
        <f t="array" ref="AJ9">IF(AI9,FALSE,INDEX(Tables!Q2:Q16,COUNTA(Tables!Q2:Q16)))</f>
        <v>2 - ♦</v>
      </c>
      <c r="AK9" s="73">
        <f>IFERROR(VLOOKUP(AJ9,Tables!$AX$2:$BC$53,3,0),"")</f>
        <v>2</v>
      </c>
      <c r="AL9" s="98" t="str">
        <f>IFERROR(VLOOKUP(AJ9,Tables!$AX$2:$BC$53,4,0),"")</f>
        <v>♦</v>
      </c>
      <c r="AM9">
        <v>7</v>
      </c>
      <c r="AN9" s="15" t="b">
        <f t="shared" si="0"/>
        <v>0</v>
      </c>
    </row>
    <row r="10" spans="1:40" ht="15.75" thickBot="1" x14ac:dyDescent="0.3">
      <c r="A10" s="140" t="s">
        <v>131</v>
      </c>
      <c r="B10" s="131">
        <f>IFERROR(VLOOKUP(TRUE,$AG$3:$AM$15,7,0),0)</f>
        <v>0</v>
      </c>
      <c r="C10" s="141">
        <f>IFERROR(HLOOKUP(B10,Tables!$K$18:$W$19,2,0),0)</f>
        <v>0</v>
      </c>
      <c r="D10" s="131">
        <f>IFERROR(VLOOKUP(TRUE,$AG$3:$AM$15,5,0),0)</f>
        <v>0</v>
      </c>
      <c r="G10" s="152" t="s">
        <v>69</v>
      </c>
      <c r="H10" s="114" t="s">
        <v>121</v>
      </c>
      <c r="I10" s="114" t="b">
        <v>0</v>
      </c>
      <c r="J10" s="114" t="b">
        <v>0</v>
      </c>
      <c r="K10" s="114" t="b">
        <f>Tables!AM21</f>
        <v>1</v>
      </c>
      <c r="L10" s="114" t="b" cm="1">
        <f t="array" ref="L10">IF(K10,FALSE,INDEX(Tables!AO2:AO14,Tables!AL21))</f>
        <v>0</v>
      </c>
      <c r="M10" s="115" t="str">
        <f>IF(K10,Tables!AK21,VLOOKUP(L10,Tables!AX:BC,6,0))</f>
        <v>13 - ♦</v>
      </c>
      <c r="N10" s="22">
        <v>8</v>
      </c>
      <c r="O10" s="21">
        <v>0</v>
      </c>
      <c r="T10" s="73">
        <v>8</v>
      </c>
      <c r="U10" s="73" t="b">
        <v>0</v>
      </c>
      <c r="V10" s="73" t="str">
        <f>IF(AA10,"",Tables!Z9)</f>
        <v/>
      </c>
      <c r="W10" s="73" t="str">
        <f>IFERROR(VLOOKUP(V10,Tables!$AX$2:$BC$53,3,0),"")</f>
        <v/>
      </c>
      <c r="X10" s="73" t="str">
        <f>IFERROR(VLOOKUP(V10,Tables!$AX$2:$BC$53,4,0),"")</f>
        <v/>
      </c>
      <c r="Y10" s="73" t="str">
        <f>IFERROR(VLOOKUP(V10,Tables!$AX$2:$BC$53,5,0),"")</f>
        <v/>
      </c>
      <c r="Z10" s="73" t="str">
        <f>IFERROR(VLOOKUP(V10,Tables!$AX$2:$BC$53,6,0),"")</f>
        <v/>
      </c>
      <c r="AA10" s="73" t="b">
        <f>IF(Tables!Z9 = 0,TRUE,FALSE)</f>
        <v>1</v>
      </c>
      <c r="AB10" s="73">
        <v>8</v>
      </c>
      <c r="AF10" s="97">
        <v>8</v>
      </c>
      <c r="AG10" s="87" t="b">
        <v>0</v>
      </c>
      <c r="AH10" s="73" t="b">
        <v>0</v>
      </c>
      <c r="AI10" s="88" t="b">
        <f>IF(COUNTA(Tables!R2:R16)&gt;0, FALSE,TRUE)</f>
        <v>0</v>
      </c>
      <c r="AJ10" s="73" t="str" cm="1">
        <f t="array" ref="AJ10">IF(AI10,FALSE,INDEX(Tables!R2:R16,COUNTA(Tables!R2:R16)))</f>
        <v>6 - ♠</v>
      </c>
      <c r="AK10" s="73">
        <f>IFERROR(VLOOKUP(AJ10,Tables!$AX$2:$BC$53,3,0),"")</f>
        <v>6</v>
      </c>
      <c r="AL10" s="98" t="str">
        <f>IFERROR(VLOOKUP(AJ10,Tables!$AX$2:$BC$53,4,0),"")</f>
        <v>♠</v>
      </c>
      <c r="AM10">
        <v>8</v>
      </c>
      <c r="AN10" s="15" t="b">
        <f t="shared" si="0"/>
        <v>0</v>
      </c>
    </row>
    <row r="11" spans="1:40" ht="15.75" thickBot="1" x14ac:dyDescent="0.3">
      <c r="A11" s="142" t="s">
        <v>132</v>
      </c>
      <c r="B11" s="143">
        <f>IFERROR(VLOOKUP(TRUE,$U$3:$AB$18,8,0),0)</f>
        <v>0</v>
      </c>
      <c r="C11" s="144">
        <f>IFERROR(VLOOKUP(TRUE,$U$3:$W$18,2,0),0)</f>
        <v>0</v>
      </c>
      <c r="D11" s="143">
        <f>IFERROR(VLOOKUP(TRUE,$U$3:$W$18,3,0),0)</f>
        <v>0</v>
      </c>
      <c r="J11" s="160"/>
      <c r="T11" s="73">
        <v>9</v>
      </c>
      <c r="U11" s="73" t="b">
        <v>0</v>
      </c>
      <c r="V11" s="73" t="str">
        <f>IF(AA11,"",Tables!Z10)</f>
        <v/>
      </c>
      <c r="W11" s="73" t="str">
        <f>IFERROR(VLOOKUP(V11,Tables!$AX$2:$BC$53,3,0),"")</f>
        <v/>
      </c>
      <c r="X11" s="73" t="str">
        <f>IFERROR(VLOOKUP(V11,Tables!$AX$2:$BC$53,4,0),"")</f>
        <v/>
      </c>
      <c r="Y11" s="73" t="str">
        <f>IFERROR(VLOOKUP(V11,Tables!$AX$2:$BC$53,5,0),"")</f>
        <v/>
      </c>
      <c r="Z11" s="73" t="str">
        <f>IFERROR(VLOOKUP(V11,Tables!$AX$2:$BC$53,6,0),"")</f>
        <v/>
      </c>
      <c r="AA11" s="73" t="b">
        <f>IF(Tables!Z10 = 0,TRUE,FALSE)</f>
        <v>1</v>
      </c>
      <c r="AB11" s="73">
        <v>9</v>
      </c>
      <c r="AF11" s="97">
        <v>9</v>
      </c>
      <c r="AG11" s="87" t="b">
        <v>0</v>
      </c>
      <c r="AH11" s="73" t="b">
        <v>0</v>
      </c>
      <c r="AI11" s="88" t="b">
        <f>IF(COUNTA(Tables!S2:S16)&gt;0, FALSE,TRUE)</f>
        <v>0</v>
      </c>
      <c r="AJ11" s="73" t="str" cm="1">
        <f t="array" ref="AJ11">IF(AI11,FALSE,INDEX(Tables!S2:S16,COUNTA(Tables!S2:S16)))</f>
        <v>4 - ♦</v>
      </c>
      <c r="AK11" s="73">
        <f>IFERROR(VLOOKUP(AJ11,Tables!$AX$2:$BC$53,3,0),"")</f>
        <v>4</v>
      </c>
      <c r="AL11" s="98" t="str">
        <f>IFERROR(VLOOKUP(AJ11,Tables!$AX$2:$BC$53,4,0),"")</f>
        <v>♦</v>
      </c>
      <c r="AM11">
        <v>9</v>
      </c>
      <c r="AN11" s="15" t="b">
        <f t="shared" si="0"/>
        <v>0</v>
      </c>
    </row>
    <row r="12" spans="1:40" ht="15.75" thickBot="1" x14ac:dyDescent="0.3">
      <c r="T12" s="73">
        <v>10</v>
      </c>
      <c r="U12" s="73" t="b">
        <v>0</v>
      </c>
      <c r="V12" s="73" t="str">
        <f>IF(AA12,"",Tables!Z11)</f>
        <v/>
      </c>
      <c r="W12" s="73" t="str">
        <f>IFERROR(VLOOKUP(V12,Tables!$AX$2:$BC$53,3,0),"")</f>
        <v/>
      </c>
      <c r="X12" s="73" t="str">
        <f>IFERROR(VLOOKUP(V12,Tables!$AX$2:$BC$53,4,0),"")</f>
        <v/>
      </c>
      <c r="Y12" s="73" t="str">
        <f>IFERROR(VLOOKUP(V12,Tables!$AX$2:$BC$53,5,0),"")</f>
        <v/>
      </c>
      <c r="Z12" s="73" t="str">
        <f>IFERROR(VLOOKUP(V12,Tables!$AX$2:$BC$53,6,0),"")</f>
        <v/>
      </c>
      <c r="AA12" s="73" t="b">
        <f>IF(Tables!Z11 = 0,TRUE,FALSE)</f>
        <v>1</v>
      </c>
      <c r="AB12" s="73">
        <v>10</v>
      </c>
      <c r="AF12" s="97">
        <v>10</v>
      </c>
      <c r="AG12" s="87" t="b">
        <v>0</v>
      </c>
      <c r="AH12" s="73" t="b">
        <v>0</v>
      </c>
      <c r="AI12" s="88" t="b">
        <f>IF(COUNTA(Tables!T2:T16)&gt;0, FALSE,TRUE)</f>
        <v>0</v>
      </c>
      <c r="AJ12" s="73" t="str" cm="1">
        <f t="array" ref="AJ12">IF(AI12,FALSE,INDEX(Tables!T2:T16,COUNTA(Tables!T2:T16)))</f>
        <v>8 - ♣</v>
      </c>
      <c r="AK12" s="73">
        <f>IFERROR(VLOOKUP(AJ12,Tables!$AX$2:$BC$53,3,0),"")</f>
        <v>8</v>
      </c>
      <c r="AL12" s="98" t="str">
        <f>IFERROR(VLOOKUP(AJ12,Tables!$AX$2:$BC$53,4,0),"")</f>
        <v>♣</v>
      </c>
      <c r="AM12">
        <v>10</v>
      </c>
      <c r="AN12" s="15" t="b">
        <f t="shared" si="0"/>
        <v>0</v>
      </c>
    </row>
    <row r="13" spans="1:40" ht="15.75" thickBot="1" x14ac:dyDescent="0.3">
      <c r="A13" s="144" t="s">
        <v>143</v>
      </c>
      <c r="B13" s="148">
        <f>IFERROR(VLOOKUP(TRUE,$I$3:$N$10,6,0),0)</f>
        <v>0</v>
      </c>
      <c r="C13" s="144" t="s">
        <v>146</v>
      </c>
      <c r="D13" s="143">
        <f>IFERROR(VLOOKUP(TRUE,$I$3:$O$10,7,0),0)</f>
        <v>0</v>
      </c>
      <c r="T13" s="73">
        <v>11</v>
      </c>
      <c r="U13" s="73" t="b">
        <v>0</v>
      </c>
      <c r="V13" s="73" t="str">
        <f>IF(AA13,"",Tables!Z12)</f>
        <v/>
      </c>
      <c r="W13" s="73" t="str">
        <f>IFERROR(VLOOKUP(V13,Tables!$AX$2:$BC$53,3,0),"")</f>
        <v/>
      </c>
      <c r="X13" s="73" t="str">
        <f>IFERROR(VLOOKUP(V13,Tables!$AX$2:$BC$53,4,0),"")</f>
        <v/>
      </c>
      <c r="Y13" s="73" t="str">
        <f>IFERROR(VLOOKUP(V13,Tables!$AX$2:$BC$53,5,0),"")</f>
        <v/>
      </c>
      <c r="Z13" s="73" t="str">
        <f>IFERROR(VLOOKUP(V13,Tables!$AX$2:$BC$53,6,0),"")</f>
        <v/>
      </c>
      <c r="AA13" s="73" t="b">
        <f>IF(Tables!Z12 = 0,TRUE,FALSE)</f>
        <v>1</v>
      </c>
      <c r="AB13" s="73">
        <v>11</v>
      </c>
      <c r="AF13" s="97">
        <v>11</v>
      </c>
      <c r="AG13" s="87" t="b">
        <v>0</v>
      </c>
      <c r="AH13" s="73" t="b">
        <v>0</v>
      </c>
      <c r="AI13" s="88" t="b">
        <f>IF(COUNTA(Tables!U2:U16)&gt;0, FALSE,TRUE)</f>
        <v>0</v>
      </c>
      <c r="AJ13" s="73" t="str" cm="1">
        <f t="array" ref="AJ13">IF(AI13,FALSE,INDEX(Tables!U2:U16,COUNTA(Tables!U2:U16)))</f>
        <v>12 - ♣</v>
      </c>
      <c r="AK13" s="73">
        <f>IFERROR(VLOOKUP(AJ13,Tables!$AX$2:$BC$53,3,0),"")</f>
        <v>12</v>
      </c>
      <c r="AL13" s="98" t="str">
        <f>IFERROR(VLOOKUP(AJ13,Tables!$AX$2:$BC$53,4,0),"")</f>
        <v>♣</v>
      </c>
      <c r="AM13">
        <v>11</v>
      </c>
      <c r="AN13" s="15" t="b">
        <f t="shared" si="0"/>
        <v>0</v>
      </c>
    </row>
    <row r="14" spans="1:40" ht="15.75" thickBot="1" x14ac:dyDescent="0.3">
      <c r="T14" s="73">
        <v>12</v>
      </c>
      <c r="U14" s="73" t="b">
        <v>0</v>
      </c>
      <c r="V14" s="73" t="str">
        <f>IF(AA14,"",Tables!Z13)</f>
        <v/>
      </c>
      <c r="W14" s="73" t="str">
        <f>IFERROR(VLOOKUP(V14,Tables!$AX$2:$BC$53,3,0),"")</f>
        <v/>
      </c>
      <c r="X14" s="73" t="str">
        <f>IFERROR(VLOOKUP(V14,Tables!$AX$2:$BC$53,4,0),"")</f>
        <v/>
      </c>
      <c r="Y14" s="73" t="str">
        <f>IFERROR(VLOOKUP(V14,Tables!$AX$2:$BC$53,5,0),"")</f>
        <v/>
      </c>
      <c r="Z14" s="73" t="str">
        <f>IFERROR(VLOOKUP(V14,Tables!$AX$2:$BC$53,6,0),"")</f>
        <v/>
      </c>
      <c r="AA14" s="73" t="b">
        <f>IF(Tables!Z13 = 0,TRUE,FALSE)</f>
        <v>1</v>
      </c>
      <c r="AB14" s="73">
        <v>12</v>
      </c>
      <c r="AF14" s="97">
        <v>12</v>
      </c>
      <c r="AG14" s="87" t="b">
        <v>0</v>
      </c>
      <c r="AH14" s="73" t="b">
        <v>0</v>
      </c>
      <c r="AI14" s="88" t="b">
        <f>IF(COUNTA(Tables!V2:V16)&gt;0, FALSE,TRUE)</f>
        <v>0</v>
      </c>
      <c r="AJ14" s="73" t="str" cm="1">
        <f t="array" ref="AJ14">IF(AI14,FALSE,INDEX(Tables!V2:V16,COUNTA(Tables!V2:V16)))</f>
        <v>4 - ♠</v>
      </c>
      <c r="AK14" s="73">
        <f>IFERROR(VLOOKUP(AJ14,Tables!$AX$2:$BC$53,3,0),"")</f>
        <v>4</v>
      </c>
      <c r="AL14" s="98" t="str">
        <f>IFERROR(VLOOKUP(AJ14,Tables!$AX$2:$BC$53,4,0),"")</f>
        <v>♠</v>
      </c>
      <c r="AM14">
        <v>12</v>
      </c>
      <c r="AN14" s="15" t="b">
        <f t="shared" si="0"/>
        <v>0</v>
      </c>
    </row>
    <row r="15" spans="1:40" ht="15.75" thickBot="1" x14ac:dyDescent="0.3">
      <c r="A15" s="142" t="s">
        <v>141</v>
      </c>
      <c r="B15" s="143" cm="1">
        <f t="array" ref="B15">_xlfn.IFS(B2=1,1,B3=1,2,B4=1,3,B5=0,0)</f>
        <v>0</v>
      </c>
      <c r="C15" s="144" t="s">
        <v>142</v>
      </c>
      <c r="D15" s="143" t="str" cm="1">
        <f t="array" ref="D15">_xlfn.IFS(B15=0,"",B15=1,VLOOKUP(TRUE,$I$3:$L$10,4,0),B15=2,VLOOKUP(TRUE,$AG$3:$AJ$15,4,0),B15=3,VLOOKUP(TRUE,$U$3:$W$18,2,0))</f>
        <v/>
      </c>
      <c r="E15" s="159" t="s">
        <v>150</v>
      </c>
      <c r="F15" s="143" t="e">
        <f>VLOOKUP(TRUE,$U$3:$AB$18,8,0)-1</f>
        <v>#N/A</v>
      </c>
      <c r="T15" s="73">
        <v>13</v>
      </c>
      <c r="U15" s="73" t="b">
        <v>0</v>
      </c>
      <c r="V15" s="73" t="str">
        <f>IF(AA15,"",Tables!Z14)</f>
        <v/>
      </c>
      <c r="W15" s="73" t="str">
        <f>IFERROR(VLOOKUP(V15,Tables!$AX$2:$BC$53,3,0),"")</f>
        <v/>
      </c>
      <c r="X15" s="73" t="str">
        <f>IFERROR(VLOOKUP(V15,Tables!$AX$2:$BC$53,4,0),"")</f>
        <v/>
      </c>
      <c r="Y15" s="73" t="str">
        <f>IFERROR(VLOOKUP(V15,Tables!$AX$2:$BC$53,5,0),"")</f>
        <v/>
      </c>
      <c r="Z15" s="73" t="str">
        <f>IFERROR(VLOOKUP(V15,Tables!$AX$2:$BC$53,6,0),"")</f>
        <v/>
      </c>
      <c r="AA15" s="73" t="b">
        <f>IF(Tables!Z14 = 0,TRUE,FALSE)</f>
        <v>1</v>
      </c>
      <c r="AB15" s="73">
        <v>13</v>
      </c>
      <c r="AF15" s="99">
        <v>13</v>
      </c>
      <c r="AG15" s="100" t="b">
        <v>0</v>
      </c>
      <c r="AH15" s="101" t="b">
        <v>0</v>
      </c>
      <c r="AI15" s="102" t="b">
        <f>IF(COUNTA(Tables!W2:W16)&gt;0, FALSE,TRUE)</f>
        <v>0</v>
      </c>
      <c r="AJ15" s="101" t="str" cm="1">
        <f t="array" ref="AJ15">IF(AI15,FALSE,INDEX(Tables!W2:W16,COUNTA(Tables!W2:W16)))</f>
        <v>5 - ♦</v>
      </c>
      <c r="AK15" s="101">
        <f>IFERROR(VLOOKUP(AJ15,Tables!$AX$2:$BC$53,3,0),"")</f>
        <v>5</v>
      </c>
      <c r="AL15" s="103" t="str">
        <f>IFERROR(VLOOKUP(AJ15,Tables!$AX$2:$BC$53,4,0),"")</f>
        <v>♦</v>
      </c>
      <c r="AM15" s="5">
        <v>13</v>
      </c>
      <c r="AN15" s="6" t="b">
        <f t="shared" si="0"/>
        <v>0</v>
      </c>
    </row>
    <row r="16" spans="1:40" x14ac:dyDescent="0.25">
      <c r="T16" s="73">
        <v>14</v>
      </c>
      <c r="U16" s="73" t="b">
        <v>0</v>
      </c>
      <c r="V16" s="73" t="str">
        <f>IF(AA16,"",Tables!Z15)</f>
        <v/>
      </c>
      <c r="W16" s="73" t="str">
        <f>IFERROR(VLOOKUP(V16,Tables!$AX$2:$BC$53,3,0),"")</f>
        <v/>
      </c>
      <c r="X16" s="73" t="str">
        <f>IFERROR(VLOOKUP(V16,Tables!$AX$2:$BC$53,4,0),"")</f>
        <v/>
      </c>
      <c r="Y16" s="73" t="str">
        <f>IFERROR(VLOOKUP(V16,Tables!$AX$2:$BC$53,5,0),"")</f>
        <v/>
      </c>
      <c r="Z16" s="73" t="str">
        <f>IFERROR(VLOOKUP(V16,Tables!$AX$2:$BC$53,6,0),"")</f>
        <v/>
      </c>
      <c r="AA16" s="73" t="b">
        <f>IF(Tables!Z15 = 0,TRUE,FALSE)</f>
        <v>1</v>
      </c>
      <c r="AB16" s="73">
        <v>14</v>
      </c>
    </row>
    <row r="17" spans="1:33" x14ac:dyDescent="0.25">
      <c r="T17" s="73">
        <v>15</v>
      </c>
      <c r="U17" s="73" t="b">
        <v>0</v>
      </c>
      <c r="V17" s="73" t="str">
        <f>IF(AA17,"",Tables!Z16)</f>
        <v/>
      </c>
      <c r="W17" s="73" t="str">
        <f>IFERROR(VLOOKUP(V17,Tables!$AX$2:$BC$53,3,0),"")</f>
        <v/>
      </c>
      <c r="X17" s="73" t="str">
        <f>IFERROR(VLOOKUP(V17,Tables!$AX$2:$BC$53,4,0),"")</f>
        <v/>
      </c>
      <c r="Y17" s="73" t="str">
        <f>IFERROR(VLOOKUP(V17,Tables!$AX$2:$BC$53,5,0),"")</f>
        <v/>
      </c>
      <c r="Z17" s="73" t="str">
        <f>IFERROR(VLOOKUP(V17,Tables!$AX$2:$BC$53,6,0),"")</f>
        <v/>
      </c>
      <c r="AA17" s="73" t="b">
        <f>IF(Tables!Z16 = 0,TRUE,FALSE)</f>
        <v>1</v>
      </c>
      <c r="AB17" s="73">
        <v>15</v>
      </c>
    </row>
    <row r="18" spans="1:33" ht="15" customHeight="1" x14ac:dyDescent="0.25">
      <c r="A18" t="s">
        <v>136</v>
      </c>
      <c r="B18" t="s">
        <v>137</v>
      </c>
      <c r="P18" s="158"/>
      <c r="Q18" s="158"/>
      <c r="R18" s="158"/>
      <c r="T18" s="73">
        <v>16</v>
      </c>
      <c r="U18" s="73" t="b">
        <v>0</v>
      </c>
      <c r="V18" s="73" t="str">
        <f>IF(AA18,"",Tables!Z17)</f>
        <v/>
      </c>
      <c r="W18" s="73" t="str">
        <f>IFERROR(VLOOKUP(V18,Tables!$AX$2:$BC$53,3,0),"")</f>
        <v/>
      </c>
      <c r="X18" s="73" t="str">
        <f>IFERROR(VLOOKUP(V18,Tables!$AX$2:$BC$53,4,0),"")</f>
        <v/>
      </c>
      <c r="Y18" s="73" t="str">
        <f>IFERROR(VLOOKUP(V18,Tables!$AX$2:$BC$53,5,0),"")</f>
        <v/>
      </c>
      <c r="Z18" s="73" t="str">
        <f>IFERROR(VLOOKUP(V18,Tables!$AX$2:$BC$53,6,0),"")</f>
        <v/>
      </c>
      <c r="AA18" s="73" t="b">
        <f>IF(Tables!Z17 = 0,TRUE,FALSE)</f>
        <v>1</v>
      </c>
      <c r="AB18" s="73">
        <v>16</v>
      </c>
    </row>
    <row r="19" spans="1:33" ht="15" customHeight="1" x14ac:dyDescent="0.25">
      <c r="A19" s="135" t="s">
        <v>128</v>
      </c>
      <c r="B19">
        <f>IFERROR(VLOOKUP(TRUE,$I$3:$L$10,4,0),0)</f>
        <v>0</v>
      </c>
      <c r="P19" s="158"/>
      <c r="Q19" s="158"/>
      <c r="R19" s="158"/>
    </row>
    <row r="20" spans="1:33" ht="15.75" customHeight="1" thickBot="1" x14ac:dyDescent="0.3">
      <c r="A20" s="140" t="s">
        <v>131</v>
      </c>
      <c r="B20">
        <f>IFERROR(VLOOKUP(TRUE,$AG$3:$AJ$15,4,0),0)</f>
        <v>0</v>
      </c>
      <c r="P20" s="158"/>
      <c r="Q20" s="158"/>
      <c r="R20" s="158"/>
      <c r="U20" s="149" t="s">
        <v>139</v>
      </c>
      <c r="AG20" s="149" t="s">
        <v>140</v>
      </c>
    </row>
    <row r="21" spans="1:33" ht="15.75" customHeight="1" thickBot="1" x14ac:dyDescent="0.3">
      <c r="A21" s="142" t="s">
        <v>132</v>
      </c>
      <c r="B21">
        <f>IFERROR(VLOOKUP(TRUE,$U$3:$W$18,2,0),0)</f>
        <v>0</v>
      </c>
      <c r="P21" s="158"/>
      <c r="Q21" s="158"/>
      <c r="R21" s="158"/>
    </row>
    <row r="22" spans="1:33" ht="15" customHeight="1" x14ac:dyDescent="0.25">
      <c r="P22" s="158"/>
      <c r="Q22" s="158"/>
      <c r="R22" s="158"/>
    </row>
    <row r="23" spans="1:33" ht="15" customHeight="1" thickBot="1" x14ac:dyDescent="0.3">
      <c r="P23" s="158"/>
      <c r="Q23" s="158"/>
      <c r="R23" s="158"/>
    </row>
    <row r="24" spans="1:33" ht="15" customHeight="1" x14ac:dyDescent="0.25">
      <c r="G24" s="285" t="s">
        <v>148</v>
      </c>
      <c r="H24" s="286"/>
      <c r="I24" s="286"/>
      <c r="J24" s="286"/>
      <c r="K24" s="286"/>
      <c r="L24" s="286"/>
      <c r="M24" s="286"/>
      <c r="N24" s="286"/>
      <c r="O24" s="287"/>
      <c r="P24" s="158"/>
      <c r="Q24" s="158"/>
      <c r="R24" s="158"/>
    </row>
    <row r="25" spans="1:33" ht="15" customHeight="1" x14ac:dyDescent="0.25">
      <c r="G25" s="288"/>
      <c r="H25" s="289"/>
      <c r="I25" s="289"/>
      <c r="J25" s="289"/>
      <c r="K25" s="289"/>
      <c r="L25" s="289"/>
      <c r="M25" s="289"/>
      <c r="N25" s="289"/>
      <c r="O25" s="290"/>
      <c r="P25" s="158"/>
      <c r="Q25" s="158"/>
      <c r="R25" s="158"/>
    </row>
    <row r="26" spans="1:33" ht="15" customHeight="1" x14ac:dyDescent="0.25">
      <c r="G26" s="288"/>
      <c r="H26" s="289"/>
      <c r="I26" s="289"/>
      <c r="J26" s="289"/>
      <c r="K26" s="289"/>
      <c r="L26" s="289"/>
      <c r="M26" s="289"/>
      <c r="N26" s="289"/>
      <c r="O26" s="290"/>
      <c r="P26" s="158"/>
      <c r="Q26" s="158"/>
      <c r="R26" s="158"/>
    </row>
    <row r="27" spans="1:33" ht="15" customHeight="1" x14ac:dyDescent="0.25">
      <c r="G27" s="288"/>
      <c r="H27" s="289"/>
      <c r="I27" s="289"/>
      <c r="J27" s="289"/>
      <c r="K27" s="289"/>
      <c r="L27" s="289"/>
      <c r="M27" s="289"/>
      <c r="N27" s="289"/>
      <c r="O27" s="290"/>
      <c r="P27" s="158"/>
      <c r="Q27" s="158"/>
      <c r="R27" s="158"/>
    </row>
    <row r="28" spans="1:33" ht="15" customHeight="1" x14ac:dyDescent="0.25">
      <c r="G28" s="288"/>
      <c r="H28" s="289"/>
      <c r="I28" s="289"/>
      <c r="J28" s="289"/>
      <c r="K28" s="289"/>
      <c r="L28" s="289"/>
      <c r="M28" s="289"/>
      <c r="N28" s="289"/>
      <c r="O28" s="290"/>
      <c r="P28" s="158"/>
      <c r="Q28" s="158"/>
      <c r="R28" s="158"/>
    </row>
    <row r="29" spans="1:33" ht="15.75" customHeight="1" x14ac:dyDescent="0.25">
      <c r="G29" s="288"/>
      <c r="H29" s="289"/>
      <c r="I29" s="289"/>
      <c r="J29" s="289"/>
      <c r="K29" s="289"/>
      <c r="L29" s="289"/>
      <c r="M29" s="289"/>
      <c r="N29" s="289"/>
      <c r="O29" s="290"/>
      <c r="P29" s="158"/>
      <c r="Q29" s="158"/>
      <c r="R29" s="158"/>
    </row>
    <row r="30" spans="1:33" x14ac:dyDescent="0.25">
      <c r="G30" s="288"/>
      <c r="H30" s="289"/>
      <c r="I30" s="289"/>
      <c r="J30" s="289"/>
      <c r="K30" s="289"/>
      <c r="L30" s="289"/>
      <c r="M30" s="289"/>
      <c r="N30" s="289"/>
      <c r="O30" s="290"/>
    </row>
    <row r="31" spans="1:33" x14ac:dyDescent="0.25">
      <c r="G31" s="288"/>
      <c r="H31" s="289"/>
      <c r="I31" s="289"/>
      <c r="J31" s="289"/>
      <c r="K31" s="289"/>
      <c r="L31" s="289"/>
      <c r="M31" s="289"/>
      <c r="N31" s="289"/>
      <c r="O31" s="290"/>
    </row>
    <row r="32" spans="1:33" x14ac:dyDescent="0.25">
      <c r="G32" s="288"/>
      <c r="H32" s="289"/>
      <c r="I32" s="289"/>
      <c r="J32" s="289"/>
      <c r="K32" s="289"/>
      <c r="L32" s="289"/>
      <c r="M32" s="289"/>
      <c r="N32" s="289"/>
      <c r="O32" s="290"/>
    </row>
    <row r="33" spans="7:15" x14ac:dyDescent="0.25">
      <c r="G33" s="288"/>
      <c r="H33" s="289"/>
      <c r="I33" s="289"/>
      <c r="J33" s="289"/>
      <c r="K33" s="289"/>
      <c r="L33" s="289"/>
      <c r="M33" s="289"/>
      <c r="N33" s="289"/>
      <c r="O33" s="290"/>
    </row>
    <row r="34" spans="7:15" x14ac:dyDescent="0.25">
      <c r="G34" s="288"/>
      <c r="H34" s="289"/>
      <c r="I34" s="289"/>
      <c r="J34" s="289"/>
      <c r="K34" s="289"/>
      <c r="L34" s="289"/>
      <c r="M34" s="289"/>
      <c r="N34" s="289"/>
      <c r="O34" s="290"/>
    </row>
    <row r="35" spans="7:15" ht="15.75" thickBot="1" x14ac:dyDescent="0.3">
      <c r="G35" s="291"/>
      <c r="H35" s="292"/>
      <c r="I35" s="292"/>
      <c r="J35" s="292"/>
      <c r="K35" s="292"/>
      <c r="L35" s="292"/>
      <c r="M35" s="292"/>
      <c r="N35" s="292"/>
      <c r="O35" s="293"/>
    </row>
  </sheetData>
  <mergeCells count="6">
    <mergeCell ref="AF1:AL1"/>
    <mergeCell ref="G24:O35"/>
    <mergeCell ref="A8:B8"/>
    <mergeCell ref="G1:M1"/>
    <mergeCell ref="A1:B1"/>
    <mergeCell ref="T1:AA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E094F-2593-4020-BD6A-CCEBC57D11BB}">
  <sheetPr codeName="Sheet1">
    <tabColor theme="1"/>
  </sheetPr>
  <dimension ref="A1:BD105"/>
  <sheetViews>
    <sheetView zoomScaleNormal="100" workbookViewId="0">
      <selection activeCell="J38" sqref="J38"/>
    </sheetView>
  </sheetViews>
  <sheetFormatPr defaultRowHeight="15" x14ac:dyDescent="0.25"/>
  <cols>
    <col min="2" max="3" width="13.85546875" bestFit="1" customWidth="1"/>
    <col min="4" max="4" width="12.7109375" bestFit="1" customWidth="1"/>
    <col min="5" max="5" width="10.140625" bestFit="1" customWidth="1"/>
    <col min="7" max="8" width="13.85546875" bestFit="1" customWidth="1"/>
    <col min="10" max="10" width="12.140625" bestFit="1" customWidth="1"/>
    <col min="11" max="23" width="6" bestFit="1" customWidth="1"/>
    <col min="24" max="24" width="6" customWidth="1"/>
    <col min="25" max="25" width="11.28515625" bestFit="1" customWidth="1"/>
    <col min="26" max="26" width="11.28515625" style="56" bestFit="1" customWidth="1"/>
    <col min="27" max="28" width="11.28515625" customWidth="1"/>
    <col min="29" max="29" width="6" customWidth="1"/>
    <col min="31" max="31" width="9.7109375" bestFit="1" customWidth="1"/>
    <col min="32" max="32" width="8.5703125" bestFit="1" customWidth="1"/>
    <col min="33" max="33" width="9.7109375" bestFit="1" customWidth="1"/>
    <col min="34" max="35" width="6" bestFit="1" customWidth="1"/>
    <col min="36" max="36" width="10.140625" style="56" customWidth="1"/>
    <col min="37" max="37" width="6.5703125" bestFit="1" customWidth="1"/>
    <col min="38" max="38" width="8.5703125" bestFit="1" customWidth="1"/>
    <col min="39" max="39" width="9.7109375" bestFit="1" customWidth="1"/>
    <col min="40" max="40" width="6" bestFit="1" customWidth="1"/>
    <col min="41" max="41" width="6.28515625" bestFit="1" customWidth="1"/>
    <col min="42" max="42" width="10.140625" customWidth="1"/>
    <col min="43" max="43" width="13.28515625" bestFit="1" customWidth="1"/>
    <col min="45" max="45" width="10.140625" bestFit="1" customWidth="1"/>
    <col min="50" max="50" width="16.85546875" style="9" bestFit="1" customWidth="1"/>
    <col min="51" max="51" width="16.42578125" style="9" bestFit="1" customWidth="1"/>
    <col min="52" max="53" width="9.140625" style="9"/>
    <col min="54" max="54" width="15.85546875" style="9" bestFit="1" customWidth="1"/>
    <col min="55" max="55" width="14.5703125" style="9" bestFit="1" customWidth="1"/>
    <col min="56" max="56" width="15.85546875" bestFit="1" customWidth="1"/>
  </cols>
  <sheetData>
    <row r="1" spans="1:56" ht="15.75" thickBot="1" x14ac:dyDescent="0.3">
      <c r="B1" t="s">
        <v>6</v>
      </c>
      <c r="C1" t="s">
        <v>5</v>
      </c>
      <c r="D1" t="s">
        <v>13</v>
      </c>
      <c r="E1" t="s">
        <v>12</v>
      </c>
      <c r="G1" s="16" t="s">
        <v>95</v>
      </c>
      <c r="H1" s="16">
        <f>COUNTA(H2:H51)</f>
        <v>23</v>
      </c>
      <c r="J1" s="16" t="s">
        <v>0</v>
      </c>
      <c r="K1" s="11">
        <v>1</v>
      </c>
      <c r="L1" s="12">
        <v>2</v>
      </c>
      <c r="M1" s="12">
        <v>3</v>
      </c>
      <c r="N1" s="12">
        <v>4</v>
      </c>
      <c r="O1" s="12">
        <v>5</v>
      </c>
      <c r="P1" s="12">
        <v>6</v>
      </c>
      <c r="Q1" s="12">
        <v>7</v>
      </c>
      <c r="R1" s="12">
        <v>8</v>
      </c>
      <c r="S1" s="12">
        <v>9</v>
      </c>
      <c r="T1" s="12">
        <v>10</v>
      </c>
      <c r="U1" s="12">
        <v>11</v>
      </c>
      <c r="V1" s="12">
        <v>12</v>
      </c>
      <c r="W1" s="13">
        <v>13</v>
      </c>
      <c r="X1" s="9"/>
      <c r="Y1" s="72" t="s">
        <v>71</v>
      </c>
      <c r="Z1" s="92">
        <f>COUNTA($Z$2:$Z$17)</f>
        <v>0</v>
      </c>
      <c r="AA1" s="87" t="s">
        <v>96</v>
      </c>
      <c r="AB1" s="88" t="s">
        <v>98</v>
      </c>
      <c r="AC1" s="9"/>
      <c r="AE1" s="127" t="s">
        <v>103</v>
      </c>
      <c r="AF1" s="155" t="s">
        <v>14</v>
      </c>
      <c r="AG1" s="156" t="s">
        <v>15</v>
      </c>
      <c r="AH1" s="155" t="s">
        <v>17</v>
      </c>
      <c r="AI1" s="157" t="s">
        <v>16</v>
      </c>
      <c r="AK1" s="127" t="s">
        <v>104</v>
      </c>
      <c r="AL1" s="155" t="s">
        <v>14</v>
      </c>
      <c r="AM1" s="156" t="s">
        <v>15</v>
      </c>
      <c r="AN1" s="155" t="s">
        <v>17</v>
      </c>
      <c r="AO1" s="157" t="s">
        <v>16</v>
      </c>
      <c r="AQ1" s="78" t="s">
        <v>97</v>
      </c>
      <c r="AR1" s="79" t="s">
        <v>96</v>
      </c>
      <c r="AS1" s="80" t="s">
        <v>98</v>
      </c>
      <c r="AU1" s="303" t="s">
        <v>135</v>
      </c>
      <c r="AV1" s="303"/>
      <c r="AX1" s="72" t="s">
        <v>106</v>
      </c>
      <c r="AY1" s="72" t="s">
        <v>107</v>
      </c>
      <c r="AZ1" s="72" t="s">
        <v>96</v>
      </c>
      <c r="BA1" s="72" t="s">
        <v>98</v>
      </c>
      <c r="BB1" s="72" t="s">
        <v>108</v>
      </c>
      <c r="BC1" s="200" t="s">
        <v>109</v>
      </c>
      <c r="BD1" s="201" t="s">
        <v>482</v>
      </c>
    </row>
    <row r="2" spans="1:56" x14ac:dyDescent="0.25">
      <c r="A2">
        <v>1</v>
      </c>
      <c r="B2" t="s">
        <v>18</v>
      </c>
      <c r="C2" t="str" cm="1">
        <f t="array" aca="1" ref="C2:C105" ca="1">_xlfn.SORTBY(B2:B105,_xlfn.RANDARRAY(COUNTA(B2:B105)))</f>
        <v>13 - ♥</v>
      </c>
      <c r="D2" t="str">
        <f ca="1">LEFT(C2,FIND("-",C2)-1)</f>
        <v xml:space="preserve">13 </v>
      </c>
      <c r="E2" t="str">
        <f ca="1">RIGHT(C2,1)</f>
        <v>♥</v>
      </c>
      <c r="G2" s="7">
        <v>1</v>
      </c>
      <c r="H2" s="7" t="s">
        <v>58</v>
      </c>
      <c r="J2" s="7">
        <v>1</v>
      </c>
      <c r="K2" s="1" t="s">
        <v>61</v>
      </c>
      <c r="L2" s="2" t="s">
        <v>27</v>
      </c>
      <c r="M2" s="2" t="s">
        <v>50</v>
      </c>
      <c r="N2" s="2" t="s">
        <v>44</v>
      </c>
      <c r="O2" s="2" t="s">
        <v>56</v>
      </c>
      <c r="P2" s="2" t="s">
        <v>69</v>
      </c>
      <c r="Q2" s="2" t="s">
        <v>27</v>
      </c>
      <c r="R2" s="2" t="s">
        <v>42</v>
      </c>
      <c r="S2" s="2" t="s">
        <v>65</v>
      </c>
      <c r="T2" s="2" t="s">
        <v>37</v>
      </c>
      <c r="U2" s="2" t="s">
        <v>26</v>
      </c>
      <c r="V2" s="2" t="s">
        <v>32</v>
      </c>
      <c r="W2" s="3" t="s">
        <v>43</v>
      </c>
      <c r="Y2" s="69">
        <v>0</v>
      </c>
      <c r="Z2" s="93"/>
      <c r="AA2" s="83" t="e">
        <f t="shared" ref="AA2:AA17" si="0">VLOOKUP(Z2,$AX:$BA,3,0)</f>
        <v>#N/A</v>
      </c>
      <c r="AB2" s="74" t="e">
        <f t="shared" ref="AB2:AB17" si="1">VLOOKUP(Z2,$AX:$BA,4,0)</f>
        <v>#N/A</v>
      </c>
      <c r="AE2" s="140">
        <v>1</v>
      </c>
      <c r="AF2" s="16"/>
      <c r="AG2" s="16"/>
      <c r="AH2" s="16"/>
      <c r="AI2" s="113"/>
      <c r="AJ2" s="56">
        <v>0</v>
      </c>
      <c r="AK2" s="140">
        <v>13</v>
      </c>
      <c r="AL2" s="16"/>
      <c r="AM2" s="16"/>
      <c r="AN2" s="16"/>
      <c r="AO2" s="113"/>
      <c r="AQ2" s="75" t="s">
        <v>56</v>
      </c>
      <c r="AR2" s="76">
        <f>VLOOKUP(AQ2,$AX:$BA,3,0)</f>
        <v>13</v>
      </c>
      <c r="AS2" s="77" t="str">
        <f>VLOOKUP(AQ2,$AX:$BA,4,0)</f>
        <v>♣</v>
      </c>
      <c r="AU2" s="127" t="s">
        <v>14</v>
      </c>
      <c r="AV2" s="145" t="s">
        <v>72</v>
      </c>
      <c r="AX2" s="72" t="s">
        <v>18</v>
      </c>
      <c r="AY2" s="72" t="s">
        <v>79</v>
      </c>
      <c r="AZ2" s="72">
        <v>1</v>
      </c>
      <c r="BA2" s="72" t="s">
        <v>14</v>
      </c>
      <c r="BB2" s="72" t="str">
        <f>AX3</f>
        <v>2 - ♠</v>
      </c>
      <c r="BC2" s="200" t="s">
        <v>110</v>
      </c>
      <c r="BD2" s="201" t="s">
        <v>507</v>
      </c>
    </row>
    <row r="3" spans="1:56" x14ac:dyDescent="0.25">
      <c r="A3">
        <v>2</v>
      </c>
      <c r="B3" t="s">
        <v>19</v>
      </c>
      <c r="C3" t="str">
        <f ca="1"/>
        <v>2 - ♣</v>
      </c>
      <c r="D3" t="str">
        <f t="shared" ref="D3:D66" ca="1" si="2">LEFT(C3,FIND("-",C3)-1)</f>
        <v xml:space="preserve">2 </v>
      </c>
      <c r="E3" t="str">
        <f t="shared" ref="E3:E66" ca="1" si="3">RIGHT(C3,1)</f>
        <v>♣</v>
      </c>
      <c r="G3" s="10">
        <v>2</v>
      </c>
      <c r="H3" s="10" t="s">
        <v>20</v>
      </c>
      <c r="J3" s="10">
        <v>2</v>
      </c>
      <c r="K3" s="14" t="s">
        <v>22</v>
      </c>
      <c r="L3" t="s">
        <v>47</v>
      </c>
      <c r="M3" t="s">
        <v>22</v>
      </c>
      <c r="N3" t="s">
        <v>64</v>
      </c>
      <c r="O3" t="s">
        <v>54</v>
      </c>
      <c r="P3" t="s">
        <v>63</v>
      </c>
      <c r="Q3" t="s">
        <v>31</v>
      </c>
      <c r="R3" t="s">
        <v>25</v>
      </c>
      <c r="S3" t="s">
        <v>18</v>
      </c>
      <c r="T3" t="s">
        <v>59</v>
      </c>
      <c r="U3" t="s">
        <v>35</v>
      </c>
      <c r="V3" t="s">
        <v>66</v>
      </c>
      <c r="W3" s="15" t="s">
        <v>45</v>
      </c>
      <c r="Y3" s="70">
        <v>1</v>
      </c>
      <c r="Z3" s="94"/>
      <c r="AA3" s="84" t="e">
        <f t="shared" si="0"/>
        <v>#N/A</v>
      </c>
      <c r="AB3" s="85" t="e">
        <f t="shared" si="1"/>
        <v>#N/A</v>
      </c>
      <c r="AE3" s="140">
        <v>2</v>
      </c>
      <c r="AF3" s="16"/>
      <c r="AG3" s="16"/>
      <c r="AH3" s="16"/>
      <c r="AI3" s="113"/>
      <c r="AJ3" s="56">
        <v>1</v>
      </c>
      <c r="AK3" s="140">
        <v>12</v>
      </c>
      <c r="AL3" s="16"/>
      <c r="AM3" s="16"/>
      <c r="AN3" s="16"/>
      <c r="AO3" s="113"/>
      <c r="AR3" s="17"/>
      <c r="AU3" s="112" t="s">
        <v>15</v>
      </c>
      <c r="AV3" s="146" t="s">
        <v>73</v>
      </c>
      <c r="AX3" s="72" t="s">
        <v>19</v>
      </c>
      <c r="AY3" s="72" t="s">
        <v>19</v>
      </c>
      <c r="AZ3" s="72">
        <v>2</v>
      </c>
      <c r="BA3" s="72" t="s">
        <v>14</v>
      </c>
      <c r="BB3" s="72" t="str">
        <f t="shared" ref="BB3:BB52" si="4">AX4</f>
        <v>3 - ♠</v>
      </c>
      <c r="BC3" s="200" t="str">
        <f>AX2</f>
        <v>1 - ♠</v>
      </c>
      <c r="BD3" s="201" t="s">
        <v>483</v>
      </c>
    </row>
    <row r="4" spans="1:56" x14ac:dyDescent="0.25">
      <c r="A4">
        <v>3</v>
      </c>
      <c r="B4" t="s">
        <v>20</v>
      </c>
      <c r="C4" t="str">
        <f ca="1"/>
        <v>2 - ♠</v>
      </c>
      <c r="D4" t="str">
        <f t="shared" ca="1" si="2"/>
        <v xml:space="preserve">2 </v>
      </c>
      <c r="E4" t="str">
        <f t="shared" ca="1" si="3"/>
        <v>♠</v>
      </c>
      <c r="G4" s="10">
        <v>3</v>
      </c>
      <c r="H4" s="10" t="s">
        <v>24</v>
      </c>
      <c r="J4" s="10">
        <v>3</v>
      </c>
      <c r="K4" s="14" t="s">
        <v>47</v>
      </c>
      <c r="L4" t="s">
        <v>62</v>
      </c>
      <c r="M4" t="s">
        <v>41</v>
      </c>
      <c r="N4" t="s">
        <v>24</v>
      </c>
      <c r="O4" t="s">
        <v>55</v>
      </c>
      <c r="P4" t="s">
        <v>38</v>
      </c>
      <c r="Q4" t="s">
        <v>49</v>
      </c>
      <c r="R4" t="s">
        <v>68</v>
      </c>
      <c r="S4" t="s">
        <v>39</v>
      </c>
      <c r="T4" t="s">
        <v>33</v>
      </c>
      <c r="U4" t="s">
        <v>18</v>
      </c>
      <c r="V4" t="s">
        <v>41</v>
      </c>
      <c r="W4" s="15" t="s">
        <v>29</v>
      </c>
      <c r="Y4" s="70">
        <v>2</v>
      </c>
      <c r="Z4" s="94"/>
      <c r="AA4" s="84" t="e">
        <f t="shared" si="0"/>
        <v>#N/A</v>
      </c>
      <c r="AB4" s="85" t="e">
        <f t="shared" si="1"/>
        <v>#N/A</v>
      </c>
      <c r="AE4" s="140">
        <v>3</v>
      </c>
      <c r="AF4" s="16"/>
      <c r="AG4" s="16"/>
      <c r="AH4" s="16"/>
      <c r="AI4" s="113"/>
      <c r="AJ4" s="56">
        <v>2</v>
      </c>
      <c r="AK4" s="140">
        <v>11</v>
      </c>
      <c r="AL4" s="16"/>
      <c r="AM4" s="16"/>
      <c r="AN4" s="16"/>
      <c r="AO4" s="113"/>
      <c r="AQ4" t="s">
        <v>170</v>
      </c>
      <c r="AR4" s="17" t="b">
        <f>IF(SUM(AF18:AF21,AL18:AL21)=104,TRUE,FALSE)</f>
        <v>0</v>
      </c>
      <c r="AU4" s="112" t="s">
        <v>17</v>
      </c>
      <c r="AV4" s="146" t="s">
        <v>74</v>
      </c>
      <c r="AX4" s="72" t="s">
        <v>20</v>
      </c>
      <c r="AY4" s="72" t="s">
        <v>20</v>
      </c>
      <c r="AZ4" s="72">
        <v>3</v>
      </c>
      <c r="BA4" s="72" t="s">
        <v>14</v>
      </c>
      <c r="BB4" s="72" t="str">
        <f t="shared" si="4"/>
        <v>4 - ♠</v>
      </c>
      <c r="BC4" s="200" t="str">
        <f t="shared" ref="BC4:BC53" si="5">AX3</f>
        <v>2 - ♠</v>
      </c>
      <c r="BD4" s="201" t="s">
        <v>484</v>
      </c>
    </row>
    <row r="5" spans="1:56" ht="15.75" thickBot="1" x14ac:dyDescent="0.3">
      <c r="A5">
        <v>4</v>
      </c>
      <c r="B5" t="s">
        <v>21</v>
      </c>
      <c r="C5" t="str">
        <f ca="1"/>
        <v>6 - ♥</v>
      </c>
      <c r="D5" t="str">
        <f t="shared" ca="1" si="2"/>
        <v xml:space="preserve">6 </v>
      </c>
      <c r="E5" t="str">
        <f t="shared" ca="1" si="3"/>
        <v>♥</v>
      </c>
      <c r="G5" s="10">
        <v>4</v>
      </c>
      <c r="H5" s="10" t="s">
        <v>38</v>
      </c>
      <c r="J5" s="10">
        <v>4</v>
      </c>
      <c r="K5" s="14" t="s">
        <v>28</v>
      </c>
      <c r="L5" t="s">
        <v>65</v>
      </c>
      <c r="M5" t="s">
        <v>57</v>
      </c>
      <c r="N5" t="s">
        <v>46</v>
      </c>
      <c r="O5" t="s">
        <v>42</v>
      </c>
      <c r="P5" t="s">
        <v>46</v>
      </c>
      <c r="Q5" t="s">
        <v>52</v>
      </c>
      <c r="R5" t="s">
        <v>67</v>
      </c>
      <c r="S5" t="s">
        <v>45</v>
      </c>
      <c r="T5" t="s">
        <v>30</v>
      </c>
      <c r="U5" t="s">
        <v>49</v>
      </c>
      <c r="V5" t="s">
        <v>39</v>
      </c>
      <c r="W5" s="15" t="s">
        <v>48</v>
      </c>
      <c r="Y5" s="70">
        <v>3</v>
      </c>
      <c r="Z5" s="94"/>
      <c r="AA5" s="84" t="e">
        <f t="shared" si="0"/>
        <v>#N/A</v>
      </c>
      <c r="AB5" s="85" t="e">
        <f t="shared" si="1"/>
        <v>#N/A</v>
      </c>
      <c r="AE5" s="140">
        <v>4</v>
      </c>
      <c r="AF5" s="16"/>
      <c r="AG5" s="16"/>
      <c r="AH5" s="16"/>
      <c r="AI5" s="113"/>
      <c r="AJ5" s="56">
        <v>3</v>
      </c>
      <c r="AK5" s="140">
        <v>10</v>
      </c>
      <c r="AL5" s="16"/>
      <c r="AM5" s="16"/>
      <c r="AN5" s="16"/>
      <c r="AO5" s="113"/>
      <c r="AU5" s="132" t="s">
        <v>16</v>
      </c>
      <c r="AV5" s="147" t="s">
        <v>75</v>
      </c>
      <c r="AX5" s="72" t="s">
        <v>21</v>
      </c>
      <c r="AY5" s="72" t="s">
        <v>21</v>
      </c>
      <c r="AZ5" s="72">
        <v>4</v>
      </c>
      <c r="BA5" s="72" t="s">
        <v>14</v>
      </c>
      <c r="BB5" s="72" t="str">
        <f t="shared" si="4"/>
        <v>5 - ♠</v>
      </c>
      <c r="BC5" s="200" t="str">
        <f t="shared" si="5"/>
        <v>3 - ♠</v>
      </c>
      <c r="BD5" s="201" t="s">
        <v>485</v>
      </c>
    </row>
    <row r="6" spans="1:56" x14ac:dyDescent="0.25">
      <c r="A6">
        <v>5</v>
      </c>
      <c r="B6" t="s">
        <v>22</v>
      </c>
      <c r="C6" t="str">
        <f ca="1"/>
        <v>7 - ♥</v>
      </c>
      <c r="D6" t="str">
        <f t="shared" ca="1" si="2"/>
        <v xml:space="preserve">7 </v>
      </c>
      <c r="E6" t="str">
        <f t="shared" ca="1" si="3"/>
        <v>♥</v>
      </c>
      <c r="G6" s="10">
        <v>5</v>
      </c>
      <c r="H6" s="10" t="s">
        <v>53</v>
      </c>
      <c r="J6" s="10">
        <v>5</v>
      </c>
      <c r="K6" s="14" t="s">
        <v>40</v>
      </c>
      <c r="L6" t="s">
        <v>57</v>
      </c>
      <c r="M6" t="s">
        <v>43</v>
      </c>
      <c r="N6" t="s">
        <v>63</v>
      </c>
      <c r="O6" t="s">
        <v>23</v>
      </c>
      <c r="P6" t="s">
        <v>19</v>
      </c>
      <c r="Q6" t="s">
        <v>40</v>
      </c>
      <c r="R6" t="s">
        <v>34</v>
      </c>
      <c r="S6" t="s">
        <v>35</v>
      </c>
      <c r="T6" t="s">
        <v>28</v>
      </c>
      <c r="U6" t="s">
        <v>69</v>
      </c>
      <c r="V6" t="s">
        <v>25</v>
      </c>
      <c r="W6" s="15" t="s">
        <v>36</v>
      </c>
      <c r="Y6" s="70">
        <v>4</v>
      </c>
      <c r="Z6" s="94"/>
      <c r="AA6" s="84" t="e">
        <f t="shared" si="0"/>
        <v>#N/A</v>
      </c>
      <c r="AB6" s="85" t="e">
        <f t="shared" si="1"/>
        <v>#N/A</v>
      </c>
      <c r="AE6" s="140">
        <v>5</v>
      </c>
      <c r="AF6" s="16"/>
      <c r="AG6" s="16"/>
      <c r="AH6" s="16"/>
      <c r="AI6" s="113"/>
      <c r="AJ6" s="56">
        <v>4</v>
      </c>
      <c r="AK6" s="140">
        <v>9</v>
      </c>
      <c r="AL6" s="16"/>
      <c r="AM6" s="16"/>
      <c r="AN6" s="16"/>
      <c r="AO6" s="113"/>
      <c r="AQ6" t="s">
        <v>412</v>
      </c>
      <c r="AR6">
        <v>0</v>
      </c>
      <c r="AV6" s="20"/>
      <c r="AX6" s="72" t="s">
        <v>22</v>
      </c>
      <c r="AY6" s="72" t="s">
        <v>22</v>
      </c>
      <c r="AZ6" s="72">
        <v>5</v>
      </c>
      <c r="BA6" s="72" t="s">
        <v>14</v>
      </c>
      <c r="BB6" s="72" t="str">
        <f t="shared" si="4"/>
        <v>6 - ♠</v>
      </c>
      <c r="BC6" s="200" t="str">
        <f t="shared" si="5"/>
        <v>4 - ♠</v>
      </c>
      <c r="BD6" s="201" t="s">
        <v>486</v>
      </c>
    </row>
    <row r="7" spans="1:56" ht="15" customHeight="1" x14ac:dyDescent="0.25">
      <c r="A7">
        <v>6</v>
      </c>
      <c r="B7" t="s">
        <v>23</v>
      </c>
      <c r="C7" t="str">
        <f ca="1"/>
        <v>5 - ♥</v>
      </c>
      <c r="D7" t="str">
        <f t="shared" ca="1" si="2"/>
        <v xml:space="preserve">5 </v>
      </c>
      <c r="E7" t="str">
        <f t="shared" ca="1" si="3"/>
        <v>♥</v>
      </c>
      <c r="G7" s="10">
        <v>6</v>
      </c>
      <c r="H7" s="10" t="s">
        <v>54</v>
      </c>
      <c r="I7" s="9"/>
      <c r="J7" s="10">
        <v>6</v>
      </c>
      <c r="K7" s="14" t="s">
        <v>51</v>
      </c>
      <c r="L7" t="s">
        <v>64</v>
      </c>
      <c r="M7" t="s">
        <v>20</v>
      </c>
      <c r="N7" t="s">
        <v>26</v>
      </c>
      <c r="O7" t="s">
        <v>31</v>
      </c>
      <c r="P7" t="s">
        <v>56</v>
      </c>
      <c r="Q7" t="s">
        <v>58</v>
      </c>
      <c r="R7" t="s">
        <v>23</v>
      </c>
      <c r="S7" t="s">
        <v>60</v>
      </c>
      <c r="T7" t="s">
        <v>51</v>
      </c>
      <c r="U7" t="s">
        <v>55</v>
      </c>
      <c r="V7" t="s">
        <v>21</v>
      </c>
      <c r="W7" s="15" t="s">
        <v>61</v>
      </c>
      <c r="Y7" s="70">
        <v>5</v>
      </c>
      <c r="Z7" s="94"/>
      <c r="AA7" s="84" t="e">
        <f t="shared" si="0"/>
        <v>#N/A</v>
      </c>
      <c r="AB7" s="85" t="e">
        <f t="shared" si="1"/>
        <v>#N/A</v>
      </c>
      <c r="AE7" s="140">
        <v>6</v>
      </c>
      <c r="AF7" s="16"/>
      <c r="AG7" s="16"/>
      <c r="AH7" s="16"/>
      <c r="AI7" s="113"/>
      <c r="AJ7" s="56">
        <v>5</v>
      </c>
      <c r="AK7" s="140">
        <v>8</v>
      </c>
      <c r="AL7" s="16"/>
      <c r="AM7" s="16"/>
      <c r="AN7" s="16"/>
      <c r="AO7" s="113"/>
      <c r="AQ7" t="s">
        <v>478</v>
      </c>
      <c r="AR7">
        <v>0</v>
      </c>
      <c r="AV7" s="20"/>
      <c r="AX7" s="72" t="s">
        <v>23</v>
      </c>
      <c r="AY7" s="72" t="s">
        <v>23</v>
      </c>
      <c r="AZ7" s="72">
        <v>6</v>
      </c>
      <c r="BA7" s="72" t="s">
        <v>14</v>
      </c>
      <c r="BB7" s="72" t="str">
        <f t="shared" si="4"/>
        <v>7 - ♠</v>
      </c>
      <c r="BC7" s="200" t="str">
        <f t="shared" si="5"/>
        <v>5 - ♠</v>
      </c>
      <c r="BD7" s="201" t="s">
        <v>487</v>
      </c>
    </row>
    <row r="8" spans="1:56" ht="15" customHeight="1" x14ac:dyDescent="0.25">
      <c r="A8">
        <v>7</v>
      </c>
      <c r="B8" t="s">
        <v>24</v>
      </c>
      <c r="C8" t="str">
        <f ca="1"/>
        <v>5 - ♣</v>
      </c>
      <c r="D8" t="str">
        <f t="shared" ca="1" si="2"/>
        <v xml:space="preserve">5 </v>
      </c>
      <c r="E8" t="str">
        <f t="shared" ca="1" si="3"/>
        <v>♣</v>
      </c>
      <c r="G8" s="10">
        <v>7</v>
      </c>
      <c r="H8" s="10" t="s">
        <v>36</v>
      </c>
      <c r="J8" s="10">
        <v>7</v>
      </c>
      <c r="K8" s="14" t="s">
        <v>52</v>
      </c>
      <c r="L8" t="s">
        <v>29</v>
      </c>
      <c r="M8" t="s">
        <v>21</v>
      </c>
      <c r="W8" s="15"/>
      <c r="Y8" s="70">
        <v>6</v>
      </c>
      <c r="Z8" s="94"/>
      <c r="AA8" s="84" t="e">
        <f t="shared" si="0"/>
        <v>#N/A</v>
      </c>
      <c r="AB8" s="85" t="e">
        <f t="shared" si="1"/>
        <v>#N/A</v>
      </c>
      <c r="AE8" s="140">
        <v>7</v>
      </c>
      <c r="AF8" s="16"/>
      <c r="AG8" s="16"/>
      <c r="AH8" s="16"/>
      <c r="AI8" s="113"/>
      <c r="AJ8" s="56">
        <v>6</v>
      </c>
      <c r="AK8" s="140">
        <v>7</v>
      </c>
      <c r="AL8" s="16"/>
      <c r="AM8" s="16"/>
      <c r="AN8" s="16"/>
      <c r="AO8" s="113"/>
      <c r="AQ8" t="s">
        <v>480</v>
      </c>
      <c r="AR8" t="b">
        <f>AR6=AR7</f>
        <v>1</v>
      </c>
      <c r="AV8" s="20"/>
      <c r="AX8" s="72" t="s">
        <v>24</v>
      </c>
      <c r="AY8" s="72" t="s">
        <v>24</v>
      </c>
      <c r="AZ8" s="72">
        <v>7</v>
      </c>
      <c r="BA8" s="72" t="s">
        <v>14</v>
      </c>
      <c r="BB8" s="72" t="str">
        <f t="shared" si="4"/>
        <v>8 - ♠</v>
      </c>
      <c r="BC8" s="200" t="str">
        <f t="shared" si="5"/>
        <v>6 - ♠</v>
      </c>
      <c r="BD8" s="201" t="s">
        <v>488</v>
      </c>
    </row>
    <row r="9" spans="1:56" x14ac:dyDescent="0.25">
      <c r="A9">
        <v>8</v>
      </c>
      <c r="B9" t="s">
        <v>25</v>
      </c>
      <c r="C9" t="str">
        <f ca="1"/>
        <v>4 - ♦</v>
      </c>
      <c r="D9" t="str">
        <f t="shared" ca="1" si="2"/>
        <v xml:space="preserve">4 </v>
      </c>
      <c r="E9" t="str">
        <f t="shared" ca="1" si="3"/>
        <v>♦</v>
      </c>
      <c r="G9" s="10">
        <v>8</v>
      </c>
      <c r="H9" s="10" t="s">
        <v>60</v>
      </c>
      <c r="J9" s="10">
        <v>8</v>
      </c>
      <c r="K9" s="14"/>
      <c r="W9" s="15"/>
      <c r="Y9" s="70">
        <v>7</v>
      </c>
      <c r="Z9" s="94"/>
      <c r="AA9" s="84" t="e">
        <f t="shared" si="0"/>
        <v>#N/A</v>
      </c>
      <c r="AB9" s="85" t="e">
        <f t="shared" si="1"/>
        <v>#N/A</v>
      </c>
      <c r="AE9" s="140">
        <v>8</v>
      </c>
      <c r="AF9" s="16"/>
      <c r="AG9" s="16"/>
      <c r="AH9" s="16"/>
      <c r="AI9" s="113"/>
      <c r="AJ9" s="56">
        <v>7</v>
      </c>
      <c r="AK9" s="140">
        <v>6</v>
      </c>
      <c r="AL9" s="16"/>
      <c r="AM9" s="16"/>
      <c r="AN9" s="16"/>
      <c r="AO9" s="113"/>
      <c r="AV9" s="20"/>
      <c r="AX9" s="72" t="s">
        <v>25</v>
      </c>
      <c r="AY9" s="72" t="s">
        <v>25</v>
      </c>
      <c r="AZ9" s="72">
        <v>8</v>
      </c>
      <c r="BA9" s="72" t="s">
        <v>14</v>
      </c>
      <c r="BB9" s="72" t="str">
        <f t="shared" si="4"/>
        <v>9 - ♠</v>
      </c>
      <c r="BC9" s="200" t="str">
        <f t="shared" si="5"/>
        <v>7 - ♠</v>
      </c>
      <c r="BD9" s="201" t="s">
        <v>489</v>
      </c>
    </row>
    <row r="10" spans="1:56" x14ac:dyDescent="0.25">
      <c r="A10">
        <v>9</v>
      </c>
      <c r="B10" t="s">
        <v>26</v>
      </c>
      <c r="C10" t="str">
        <f ca="1"/>
        <v>11 - ♣</v>
      </c>
      <c r="D10" t="str">
        <f t="shared" ca="1" si="2"/>
        <v xml:space="preserve">11 </v>
      </c>
      <c r="E10" t="str">
        <f t="shared" ca="1" si="3"/>
        <v>♣</v>
      </c>
      <c r="G10" s="10">
        <v>9</v>
      </c>
      <c r="H10" s="10" t="s">
        <v>32</v>
      </c>
      <c r="J10" s="10">
        <v>9</v>
      </c>
      <c r="K10" s="14"/>
      <c r="W10" s="15"/>
      <c r="Y10" s="70">
        <v>8</v>
      </c>
      <c r="Z10" s="94"/>
      <c r="AA10" s="84" t="e">
        <f t="shared" si="0"/>
        <v>#N/A</v>
      </c>
      <c r="AB10" s="85" t="e">
        <f t="shared" si="1"/>
        <v>#N/A</v>
      </c>
      <c r="AE10" s="140">
        <v>9</v>
      </c>
      <c r="AF10" s="16"/>
      <c r="AG10" s="16"/>
      <c r="AH10" s="16"/>
      <c r="AI10" s="113"/>
      <c r="AJ10" s="56">
        <v>8</v>
      </c>
      <c r="AK10" s="140">
        <v>5</v>
      </c>
      <c r="AL10" s="16"/>
      <c r="AM10" s="16"/>
      <c r="AN10" s="16"/>
      <c r="AO10" s="113"/>
      <c r="AV10" s="20"/>
      <c r="AX10" s="72" t="s">
        <v>26</v>
      </c>
      <c r="AY10" s="72" t="s">
        <v>26</v>
      </c>
      <c r="AZ10" s="72">
        <v>9</v>
      </c>
      <c r="BA10" s="72" t="s">
        <v>14</v>
      </c>
      <c r="BB10" s="72" t="str">
        <f t="shared" si="4"/>
        <v>10 - ♠</v>
      </c>
      <c r="BC10" s="200" t="str">
        <f t="shared" si="5"/>
        <v>8 - ♠</v>
      </c>
      <c r="BD10" s="201" t="s">
        <v>490</v>
      </c>
    </row>
    <row r="11" spans="1:56" x14ac:dyDescent="0.25">
      <c r="A11">
        <v>10</v>
      </c>
      <c r="B11" t="s">
        <v>27</v>
      </c>
      <c r="C11" t="str">
        <f ca="1"/>
        <v>11 - ♠</v>
      </c>
      <c r="D11" t="str">
        <f t="shared" ca="1" si="2"/>
        <v xml:space="preserve">11 </v>
      </c>
      <c r="E11" t="str">
        <f t="shared" ca="1" si="3"/>
        <v>♠</v>
      </c>
      <c r="G11" s="10">
        <v>10</v>
      </c>
      <c r="H11" s="10" t="s">
        <v>50</v>
      </c>
      <c r="J11" s="10">
        <v>10</v>
      </c>
      <c r="K11" s="14"/>
      <c r="W11" s="15"/>
      <c r="Y11" s="70">
        <v>9</v>
      </c>
      <c r="Z11" s="94"/>
      <c r="AA11" s="84" t="e">
        <f t="shared" si="0"/>
        <v>#N/A</v>
      </c>
      <c r="AB11" s="85" t="e">
        <f t="shared" si="1"/>
        <v>#N/A</v>
      </c>
      <c r="AE11" s="140">
        <v>10</v>
      </c>
      <c r="AF11" s="16"/>
      <c r="AG11" s="16"/>
      <c r="AH11" s="16"/>
      <c r="AI11" s="113"/>
      <c r="AJ11" s="56">
        <v>9</v>
      </c>
      <c r="AK11" s="140">
        <v>4</v>
      </c>
      <c r="AL11" s="16"/>
      <c r="AM11" s="16"/>
      <c r="AN11" s="16"/>
      <c r="AO11" s="113"/>
      <c r="AV11" s="20"/>
      <c r="AX11" s="72" t="s">
        <v>27</v>
      </c>
      <c r="AY11" s="72" t="s">
        <v>27</v>
      </c>
      <c r="AZ11" s="72">
        <v>10</v>
      </c>
      <c r="BA11" s="72" t="s">
        <v>14</v>
      </c>
      <c r="BB11" s="72" t="str">
        <f t="shared" si="4"/>
        <v>11 - ♠</v>
      </c>
      <c r="BC11" s="200" t="str">
        <f t="shared" si="5"/>
        <v>9 - ♠</v>
      </c>
      <c r="BD11" s="201" t="s">
        <v>508</v>
      </c>
    </row>
    <row r="12" spans="1:56" x14ac:dyDescent="0.25">
      <c r="A12">
        <v>11</v>
      </c>
      <c r="B12" t="s">
        <v>28</v>
      </c>
      <c r="C12" t="str">
        <f ca="1"/>
        <v>4 - ♠</v>
      </c>
      <c r="D12" t="str">
        <f t="shared" ca="1" si="2"/>
        <v xml:space="preserve">4 </v>
      </c>
      <c r="E12" t="str">
        <f t="shared" ca="1" si="3"/>
        <v>♠</v>
      </c>
      <c r="G12" s="10">
        <v>11</v>
      </c>
      <c r="H12" s="10" t="s">
        <v>19</v>
      </c>
      <c r="J12" s="10">
        <v>11</v>
      </c>
      <c r="K12" s="14"/>
      <c r="W12" s="15"/>
      <c r="Y12" s="70">
        <v>10</v>
      </c>
      <c r="Z12" s="94"/>
      <c r="AA12" s="84" t="e">
        <f t="shared" si="0"/>
        <v>#N/A</v>
      </c>
      <c r="AB12" s="85" t="e">
        <f t="shared" si="1"/>
        <v>#N/A</v>
      </c>
      <c r="AE12" s="140">
        <v>11</v>
      </c>
      <c r="AF12" s="16"/>
      <c r="AG12" s="16"/>
      <c r="AH12" s="16"/>
      <c r="AI12" s="113"/>
      <c r="AJ12" s="56">
        <v>10</v>
      </c>
      <c r="AK12" s="140">
        <v>3</v>
      </c>
      <c r="AL12" s="16"/>
      <c r="AM12" s="16"/>
      <c r="AN12" s="16"/>
      <c r="AO12" s="113"/>
      <c r="AV12" s="20"/>
      <c r="AX12" s="72" t="s">
        <v>28</v>
      </c>
      <c r="AY12" s="72" t="s">
        <v>80</v>
      </c>
      <c r="AZ12" s="72">
        <v>11</v>
      </c>
      <c r="BA12" s="72" t="s">
        <v>14</v>
      </c>
      <c r="BB12" s="72" t="str">
        <f t="shared" si="4"/>
        <v>12 - ♠</v>
      </c>
      <c r="BC12" s="200" t="str">
        <f t="shared" si="5"/>
        <v>10 - ♠</v>
      </c>
      <c r="BD12" s="201" t="s">
        <v>509</v>
      </c>
    </row>
    <row r="13" spans="1:56" x14ac:dyDescent="0.25">
      <c r="A13">
        <v>12</v>
      </c>
      <c r="B13" t="s">
        <v>29</v>
      </c>
      <c r="C13" t="str">
        <f ca="1"/>
        <v>3 - ♣</v>
      </c>
      <c r="D13" t="str">
        <f t="shared" ca="1" si="2"/>
        <v xml:space="preserve">3 </v>
      </c>
      <c r="E13" t="str">
        <f t="shared" ca="1" si="3"/>
        <v>♣</v>
      </c>
      <c r="G13" s="10">
        <v>12</v>
      </c>
      <c r="H13" s="10" t="s">
        <v>68</v>
      </c>
      <c r="J13" s="10">
        <v>12</v>
      </c>
      <c r="K13" s="14"/>
      <c r="W13" s="15"/>
      <c r="Y13" s="70">
        <v>11</v>
      </c>
      <c r="Z13" s="94"/>
      <c r="AA13" s="84" t="e">
        <f t="shared" si="0"/>
        <v>#N/A</v>
      </c>
      <c r="AB13" s="85" t="e">
        <f t="shared" si="1"/>
        <v>#N/A</v>
      </c>
      <c r="AE13" s="140">
        <v>12</v>
      </c>
      <c r="AF13" s="16"/>
      <c r="AG13" s="16"/>
      <c r="AH13" s="16"/>
      <c r="AI13" s="113"/>
      <c r="AJ13" s="56">
        <v>11</v>
      </c>
      <c r="AK13" s="140">
        <v>2</v>
      </c>
      <c r="AL13" s="16"/>
      <c r="AM13" s="16"/>
      <c r="AN13" s="16"/>
      <c r="AO13" s="113"/>
      <c r="AV13" s="20"/>
      <c r="AX13" s="72" t="s">
        <v>29</v>
      </c>
      <c r="AY13" s="72" t="s">
        <v>81</v>
      </c>
      <c r="AZ13" s="72">
        <v>12</v>
      </c>
      <c r="BA13" s="72" t="s">
        <v>14</v>
      </c>
      <c r="BB13" s="72" t="str">
        <f t="shared" si="4"/>
        <v>13 - ♠</v>
      </c>
      <c r="BC13" s="200" t="str">
        <f t="shared" si="5"/>
        <v>11 - ♠</v>
      </c>
      <c r="BD13" s="201" t="s">
        <v>510</v>
      </c>
    </row>
    <row r="14" spans="1:56" ht="15.75" thickBot="1" x14ac:dyDescent="0.3">
      <c r="A14">
        <v>13</v>
      </c>
      <c r="B14" t="s">
        <v>30</v>
      </c>
      <c r="C14" t="str">
        <f ca="1"/>
        <v>5 - ♠</v>
      </c>
      <c r="D14" t="str">
        <f t="shared" ca="1" si="2"/>
        <v xml:space="preserve">5 </v>
      </c>
      <c r="E14" t="str">
        <f t="shared" ca="1" si="3"/>
        <v>♠</v>
      </c>
      <c r="G14" s="10">
        <v>13</v>
      </c>
      <c r="H14" s="10" t="s">
        <v>53</v>
      </c>
      <c r="J14" s="10">
        <v>13</v>
      </c>
      <c r="K14" s="14"/>
      <c r="W14" s="15"/>
      <c r="Y14" s="70">
        <v>12</v>
      </c>
      <c r="Z14" s="94"/>
      <c r="AA14" s="84" t="e">
        <f t="shared" si="0"/>
        <v>#N/A</v>
      </c>
      <c r="AB14" s="85" t="e">
        <f t="shared" si="1"/>
        <v>#N/A</v>
      </c>
      <c r="AE14" s="132">
        <v>13</v>
      </c>
      <c r="AF14" s="114"/>
      <c r="AG14" s="114"/>
      <c r="AH14" s="114"/>
      <c r="AI14" s="115"/>
      <c r="AJ14" s="56">
        <v>12</v>
      </c>
      <c r="AK14" s="132">
        <v>1</v>
      </c>
      <c r="AL14" s="114"/>
      <c r="AM14" s="114"/>
      <c r="AN14" s="114"/>
      <c r="AO14" s="115"/>
      <c r="AX14" s="72" t="s">
        <v>30</v>
      </c>
      <c r="AY14" s="72" t="s">
        <v>82</v>
      </c>
      <c r="AZ14" s="72">
        <v>13</v>
      </c>
      <c r="BA14" s="72" t="s">
        <v>14</v>
      </c>
      <c r="BB14" s="72" t="b">
        <v>0</v>
      </c>
      <c r="BC14" s="200" t="str">
        <f t="shared" si="5"/>
        <v>12 - ♠</v>
      </c>
      <c r="BD14" s="201" t="s">
        <v>511</v>
      </c>
    </row>
    <row r="15" spans="1:56" x14ac:dyDescent="0.25">
      <c r="A15">
        <v>14</v>
      </c>
      <c r="B15" t="s">
        <v>31</v>
      </c>
      <c r="C15" t="str">
        <f ca="1"/>
        <v>1 - ♣</v>
      </c>
      <c r="D15" t="str">
        <f t="shared" ca="1" si="2"/>
        <v xml:space="preserve">1 </v>
      </c>
      <c r="E15" t="str">
        <f t="shared" ca="1" si="3"/>
        <v>♣</v>
      </c>
      <c r="G15" s="10">
        <v>14</v>
      </c>
      <c r="H15" s="10" t="s">
        <v>44</v>
      </c>
      <c r="J15" s="10">
        <v>14</v>
      </c>
      <c r="K15" s="14"/>
      <c r="W15" s="15"/>
      <c r="Y15" s="70">
        <v>13</v>
      </c>
      <c r="Z15" s="94"/>
      <c r="AA15" s="84" t="e">
        <f t="shared" si="0"/>
        <v>#N/A</v>
      </c>
      <c r="AB15" s="85" t="e">
        <f t="shared" si="1"/>
        <v>#N/A</v>
      </c>
      <c r="AF15">
        <v>32</v>
      </c>
      <c r="AG15">
        <v>33</v>
      </c>
      <c r="AH15">
        <v>34</v>
      </c>
      <c r="AI15">
        <v>35</v>
      </c>
      <c r="AL15">
        <v>38</v>
      </c>
      <c r="AM15">
        <v>39</v>
      </c>
      <c r="AN15">
        <v>40</v>
      </c>
      <c r="AO15">
        <v>41</v>
      </c>
      <c r="AX15" s="72" t="s">
        <v>31</v>
      </c>
      <c r="AY15" s="72" t="s">
        <v>83</v>
      </c>
      <c r="AZ15" s="72">
        <v>1</v>
      </c>
      <c r="BA15" s="72" t="s">
        <v>15</v>
      </c>
      <c r="BB15" s="72" t="str">
        <f t="shared" si="4"/>
        <v>2 - ♥</v>
      </c>
      <c r="BC15" s="200" t="b">
        <v>0</v>
      </c>
      <c r="BD15" s="201" t="s">
        <v>512</v>
      </c>
    </row>
    <row r="16" spans="1:56" x14ac:dyDescent="0.25">
      <c r="A16">
        <v>15</v>
      </c>
      <c r="B16" t="s">
        <v>32</v>
      </c>
      <c r="C16" t="str">
        <f ca="1"/>
        <v>12 - ♠</v>
      </c>
      <c r="D16" t="str">
        <f t="shared" ca="1" si="2"/>
        <v xml:space="preserve">12 </v>
      </c>
      <c r="E16" t="str">
        <f t="shared" ca="1" si="3"/>
        <v>♠</v>
      </c>
      <c r="G16" s="10">
        <v>15</v>
      </c>
      <c r="H16" s="10" t="s">
        <v>66</v>
      </c>
      <c r="J16" s="8">
        <v>15</v>
      </c>
      <c r="K16" s="4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6"/>
      <c r="Y16" s="70">
        <v>14</v>
      </c>
      <c r="Z16" s="94"/>
      <c r="AA16" s="84" t="e">
        <f t="shared" si="0"/>
        <v>#N/A</v>
      </c>
      <c r="AB16" s="85" t="e">
        <f t="shared" si="1"/>
        <v>#N/A</v>
      </c>
      <c r="AX16" s="72" t="s">
        <v>32</v>
      </c>
      <c r="AY16" s="72" t="s">
        <v>32</v>
      </c>
      <c r="AZ16" s="72">
        <v>2</v>
      </c>
      <c r="BA16" s="72" t="s">
        <v>15</v>
      </c>
      <c r="BB16" s="72" t="str">
        <f t="shared" si="4"/>
        <v>3 - ♥</v>
      </c>
      <c r="BC16" s="200" t="str">
        <f t="shared" si="5"/>
        <v>1 - ♥</v>
      </c>
      <c r="BD16" s="201" t="s">
        <v>491</v>
      </c>
    </row>
    <row r="17" spans="1:56" x14ac:dyDescent="0.25">
      <c r="A17">
        <v>16</v>
      </c>
      <c r="B17" t="s">
        <v>33</v>
      </c>
      <c r="C17" t="str">
        <f ca="1"/>
        <v>13 - ♣</v>
      </c>
      <c r="D17" t="str">
        <f t="shared" ca="1" si="2"/>
        <v xml:space="preserve">13 </v>
      </c>
      <c r="E17" t="str">
        <f t="shared" ca="1" si="3"/>
        <v>♣</v>
      </c>
      <c r="G17" s="10">
        <v>16</v>
      </c>
      <c r="H17" s="10" t="s">
        <v>30</v>
      </c>
      <c r="Y17" s="71">
        <v>15</v>
      </c>
      <c r="Z17" s="95"/>
      <c r="AA17" s="86" t="e">
        <f t="shared" si="0"/>
        <v>#N/A</v>
      </c>
      <c r="AB17" s="77" t="e">
        <f t="shared" si="1"/>
        <v>#N/A</v>
      </c>
      <c r="AE17" s="16" t="s">
        <v>125</v>
      </c>
      <c r="AF17" s="16" t="s">
        <v>124</v>
      </c>
      <c r="AG17" s="16" t="s">
        <v>123</v>
      </c>
      <c r="AK17" s="16" t="s">
        <v>125</v>
      </c>
      <c r="AL17" s="16" t="s">
        <v>124</v>
      </c>
      <c r="AM17" s="16" t="s">
        <v>123</v>
      </c>
      <c r="AX17" s="72" t="s">
        <v>33</v>
      </c>
      <c r="AY17" s="72" t="s">
        <v>33</v>
      </c>
      <c r="AZ17" s="72">
        <v>3</v>
      </c>
      <c r="BA17" s="72" t="s">
        <v>15</v>
      </c>
      <c r="BB17" s="72" t="str">
        <f t="shared" si="4"/>
        <v>4 - ♥</v>
      </c>
      <c r="BC17" s="200" t="str">
        <f t="shared" si="5"/>
        <v>2 - ♥</v>
      </c>
      <c r="BD17" s="201" t="s">
        <v>492</v>
      </c>
    </row>
    <row r="18" spans="1:56" x14ac:dyDescent="0.25">
      <c r="A18">
        <v>17</v>
      </c>
      <c r="B18" t="s">
        <v>34</v>
      </c>
      <c r="C18" t="str">
        <f ca="1"/>
        <v>1 - ♣</v>
      </c>
      <c r="D18" t="str">
        <f t="shared" ca="1" si="2"/>
        <v xml:space="preserve">1 </v>
      </c>
      <c r="E18" t="str">
        <f t="shared" ca="1" si="3"/>
        <v>♣</v>
      </c>
      <c r="G18" s="10">
        <v>17</v>
      </c>
      <c r="H18" s="10" t="s">
        <v>62</v>
      </c>
      <c r="K18" s="11">
        <v>1</v>
      </c>
      <c r="L18" s="12">
        <v>2</v>
      </c>
      <c r="M18" s="12">
        <v>3</v>
      </c>
      <c r="N18" s="12">
        <v>4</v>
      </c>
      <c r="O18" s="12">
        <v>5</v>
      </c>
      <c r="P18" s="12">
        <v>6</v>
      </c>
      <c r="Q18" s="12">
        <v>7</v>
      </c>
      <c r="R18" s="12">
        <v>8</v>
      </c>
      <c r="S18" s="12">
        <v>9</v>
      </c>
      <c r="T18" s="12">
        <v>10</v>
      </c>
      <c r="U18" s="12">
        <v>11</v>
      </c>
      <c r="V18" s="12">
        <v>12</v>
      </c>
      <c r="W18" s="13">
        <v>13</v>
      </c>
      <c r="AE18" s="116" t="s">
        <v>18</v>
      </c>
      <c r="AF18" s="16">
        <f>COUNTA(Tables!AF2:AF14)</f>
        <v>0</v>
      </c>
      <c r="AG18" s="16" t="b">
        <f>IF(COUNTA(Tables!AF2:AF14)=0,TRUE,FALSE)</f>
        <v>1</v>
      </c>
      <c r="AK18" s="116" t="s">
        <v>30</v>
      </c>
      <c r="AL18" s="16">
        <f>COUNTA(Tables!AL2:AL14)</f>
        <v>0</v>
      </c>
      <c r="AM18" s="16" t="b">
        <f>IF(COUNTA(Tables!AL2:AL14)=0,TRUE,FALSE)</f>
        <v>1</v>
      </c>
      <c r="AX18" s="72" t="s">
        <v>34</v>
      </c>
      <c r="AY18" s="72" t="s">
        <v>34</v>
      </c>
      <c r="AZ18" s="72">
        <v>4</v>
      </c>
      <c r="BA18" s="72" t="s">
        <v>15</v>
      </c>
      <c r="BB18" s="72" t="str">
        <f t="shared" si="4"/>
        <v>5 - ♥</v>
      </c>
      <c r="BC18" s="200" t="str">
        <f t="shared" si="5"/>
        <v>3 - ♥</v>
      </c>
      <c r="BD18" s="201" t="s">
        <v>493</v>
      </c>
    </row>
    <row r="19" spans="1:56" x14ac:dyDescent="0.25">
      <c r="A19">
        <v>18</v>
      </c>
      <c r="B19" t="s">
        <v>35</v>
      </c>
      <c r="C19" t="str">
        <f ca="1"/>
        <v>8 - ♥</v>
      </c>
      <c r="D19" t="str">
        <f t="shared" ca="1" si="2"/>
        <v xml:space="preserve">8 </v>
      </c>
      <c r="E19" t="str">
        <f t="shared" ca="1" si="3"/>
        <v>♥</v>
      </c>
      <c r="G19" s="10">
        <v>18</v>
      </c>
      <c r="H19" s="10" t="s">
        <v>59</v>
      </c>
      <c r="J19" s="16" t="s">
        <v>119</v>
      </c>
      <c r="K19" s="109">
        <f>COUNTA(K2:K16)</f>
        <v>7</v>
      </c>
      <c r="L19" s="110">
        <f t="shared" ref="L19:W19" si="6">COUNTA(L2:L16)</f>
        <v>7</v>
      </c>
      <c r="M19" s="110">
        <f t="shared" si="6"/>
        <v>7</v>
      </c>
      <c r="N19" s="110">
        <f t="shared" si="6"/>
        <v>6</v>
      </c>
      <c r="O19" s="110">
        <f t="shared" si="6"/>
        <v>6</v>
      </c>
      <c r="P19" s="110">
        <f t="shared" si="6"/>
        <v>6</v>
      </c>
      <c r="Q19" s="110">
        <f t="shared" si="6"/>
        <v>6</v>
      </c>
      <c r="R19" s="110">
        <f t="shared" si="6"/>
        <v>6</v>
      </c>
      <c r="S19" s="110">
        <f t="shared" si="6"/>
        <v>6</v>
      </c>
      <c r="T19" s="110">
        <f t="shared" si="6"/>
        <v>6</v>
      </c>
      <c r="U19" s="110">
        <f t="shared" si="6"/>
        <v>6</v>
      </c>
      <c r="V19" s="110">
        <f t="shared" si="6"/>
        <v>6</v>
      </c>
      <c r="W19" s="111">
        <f t="shared" si="6"/>
        <v>6</v>
      </c>
      <c r="AE19" s="117" t="s">
        <v>31</v>
      </c>
      <c r="AF19" s="16">
        <f>COUNTA(Tables!AG2:AG14)</f>
        <v>0</v>
      </c>
      <c r="AG19" s="16" t="b">
        <f>IF(COUNTA(Tables!AG2:AG14)=0,TRUE,FALSE)</f>
        <v>1</v>
      </c>
      <c r="AK19" s="117" t="s">
        <v>43</v>
      </c>
      <c r="AL19" s="16">
        <f>COUNTA(Tables!AM2:AM14)</f>
        <v>0</v>
      </c>
      <c r="AM19" s="16" t="b">
        <f>IF(COUNTA(Tables!AM2:AM14)=0,TRUE,FALSE)</f>
        <v>1</v>
      </c>
      <c r="AX19" s="72" t="s">
        <v>35</v>
      </c>
      <c r="AY19" s="72" t="s">
        <v>35</v>
      </c>
      <c r="AZ19" s="72">
        <v>5</v>
      </c>
      <c r="BA19" s="72" t="s">
        <v>15</v>
      </c>
      <c r="BB19" s="72" t="str">
        <f t="shared" si="4"/>
        <v>6 - ♥</v>
      </c>
      <c r="BC19" s="200" t="str">
        <f t="shared" si="5"/>
        <v>4 - ♥</v>
      </c>
      <c r="BD19" s="201" t="s">
        <v>494</v>
      </c>
    </row>
    <row r="20" spans="1:56" x14ac:dyDescent="0.25">
      <c r="A20">
        <v>19</v>
      </c>
      <c r="B20" t="s">
        <v>36</v>
      </c>
      <c r="C20" t="str">
        <f ca="1"/>
        <v>10 - ♦</v>
      </c>
      <c r="D20" t="str">
        <f t="shared" ca="1" si="2"/>
        <v xml:space="preserve">10 </v>
      </c>
      <c r="E20" t="str">
        <f t="shared" ca="1" si="3"/>
        <v>♦</v>
      </c>
      <c r="G20" s="10">
        <v>19</v>
      </c>
      <c r="H20" s="10" t="s">
        <v>34</v>
      </c>
      <c r="AE20" s="116" t="s">
        <v>44</v>
      </c>
      <c r="AF20" s="16">
        <f>COUNTA(Tables!AH2:AH14)</f>
        <v>0</v>
      </c>
      <c r="AG20" s="16" t="b">
        <f>IF(COUNTA(Tables!AH2:AH14)=0,TRUE,FALSE)</f>
        <v>1</v>
      </c>
      <c r="AK20" s="116" t="s">
        <v>56</v>
      </c>
      <c r="AL20" s="16">
        <f>COUNTA(Tables!AN2:AN14)</f>
        <v>0</v>
      </c>
      <c r="AM20" s="16" t="b">
        <f>IF(COUNTA(Tables!AN2:AN14)=0,TRUE,FALSE)</f>
        <v>1</v>
      </c>
      <c r="AX20" s="72" t="s">
        <v>36</v>
      </c>
      <c r="AY20" s="72" t="s">
        <v>36</v>
      </c>
      <c r="AZ20" s="72">
        <v>6</v>
      </c>
      <c r="BA20" s="72" t="s">
        <v>15</v>
      </c>
      <c r="BB20" s="72" t="str">
        <f t="shared" si="4"/>
        <v>7 - ♥</v>
      </c>
      <c r="BC20" s="200" t="str">
        <f t="shared" si="5"/>
        <v>5 - ♥</v>
      </c>
      <c r="BD20" s="201" t="s">
        <v>495</v>
      </c>
    </row>
    <row r="21" spans="1:56" x14ac:dyDescent="0.25">
      <c r="A21">
        <v>20</v>
      </c>
      <c r="B21" t="s">
        <v>37</v>
      </c>
      <c r="C21" t="str">
        <f ca="1"/>
        <v>1 - ♥</v>
      </c>
      <c r="D21" t="str">
        <f t="shared" ca="1" si="2"/>
        <v xml:space="preserve">1 </v>
      </c>
      <c r="E21" t="str">
        <f t="shared" ca="1" si="3"/>
        <v>♥</v>
      </c>
      <c r="G21" s="10">
        <v>20</v>
      </c>
      <c r="H21" s="10" t="s">
        <v>33</v>
      </c>
      <c r="AE21" s="117" t="s">
        <v>57</v>
      </c>
      <c r="AF21" s="16">
        <f>COUNTA(Tables!AI2:AI14)</f>
        <v>0</v>
      </c>
      <c r="AG21" s="16" t="b">
        <f>IF(COUNTA(Tables!AI2:AI14)=0,TRUE,FALSE)</f>
        <v>1</v>
      </c>
      <c r="AK21" s="117" t="s">
        <v>69</v>
      </c>
      <c r="AL21" s="16">
        <f>COUNTA(Tables!AO2:AO14)</f>
        <v>0</v>
      </c>
      <c r="AM21" s="16" t="b">
        <f>IF(COUNTA(Tables!AO2:AO14)=0,TRUE,FALSE)</f>
        <v>1</v>
      </c>
      <c r="AX21" s="72" t="s">
        <v>37</v>
      </c>
      <c r="AY21" s="72" t="s">
        <v>37</v>
      </c>
      <c r="AZ21" s="72">
        <v>7</v>
      </c>
      <c r="BA21" s="72" t="s">
        <v>15</v>
      </c>
      <c r="BB21" s="72" t="str">
        <f t="shared" si="4"/>
        <v>8 - ♥</v>
      </c>
      <c r="BC21" s="200" t="str">
        <f t="shared" si="5"/>
        <v>6 - ♥</v>
      </c>
      <c r="BD21" s="201" t="s">
        <v>496</v>
      </c>
    </row>
    <row r="22" spans="1:56" x14ac:dyDescent="0.25">
      <c r="A22">
        <v>21</v>
      </c>
      <c r="B22" t="s">
        <v>38</v>
      </c>
      <c r="C22" t="str">
        <f ca="1"/>
        <v>6 - ♣</v>
      </c>
      <c r="D22" t="str">
        <f t="shared" ca="1" si="2"/>
        <v xml:space="preserve">6 </v>
      </c>
      <c r="E22" t="str">
        <f t="shared" ca="1" si="3"/>
        <v>♣</v>
      </c>
      <c r="G22" s="10">
        <v>21</v>
      </c>
      <c r="H22" s="10" t="s">
        <v>48</v>
      </c>
      <c r="AX22" s="72" t="s">
        <v>38</v>
      </c>
      <c r="AY22" s="72" t="s">
        <v>38</v>
      </c>
      <c r="AZ22" s="72">
        <v>8</v>
      </c>
      <c r="BA22" s="72" t="s">
        <v>15</v>
      </c>
      <c r="BB22" s="72" t="str">
        <f t="shared" si="4"/>
        <v>9 - ♥</v>
      </c>
      <c r="BC22" s="200" t="str">
        <f t="shared" si="5"/>
        <v>7 - ♥</v>
      </c>
      <c r="BD22" s="201" t="s">
        <v>497</v>
      </c>
    </row>
    <row r="23" spans="1:56" ht="15.75" thickBot="1" x14ac:dyDescent="0.3">
      <c r="A23">
        <v>22</v>
      </c>
      <c r="B23" t="s">
        <v>39</v>
      </c>
      <c r="C23" t="str">
        <f ca="1"/>
        <v>7 - ♣</v>
      </c>
      <c r="D23" t="str">
        <f t="shared" ca="1" si="2"/>
        <v xml:space="preserve">7 </v>
      </c>
      <c r="E23" t="str">
        <f t="shared" ca="1" si="3"/>
        <v>♣</v>
      </c>
      <c r="G23" s="10">
        <v>22</v>
      </c>
      <c r="H23" s="10" t="s">
        <v>37</v>
      </c>
      <c r="J23" t="s">
        <v>171</v>
      </c>
      <c r="AA23" t="s">
        <v>172</v>
      </c>
      <c r="AX23" s="72" t="s">
        <v>39</v>
      </c>
      <c r="AY23" s="72" t="s">
        <v>39</v>
      </c>
      <c r="AZ23" s="72">
        <v>9</v>
      </c>
      <c r="BA23" s="72" t="s">
        <v>15</v>
      </c>
      <c r="BB23" s="72" t="str">
        <f t="shared" si="4"/>
        <v>10 - ♥</v>
      </c>
      <c r="BC23" s="200" t="str">
        <f t="shared" si="5"/>
        <v>8 - ♥</v>
      </c>
      <c r="BD23" s="201" t="s">
        <v>498</v>
      </c>
    </row>
    <row r="24" spans="1:56" x14ac:dyDescent="0.25">
      <c r="A24">
        <v>23</v>
      </c>
      <c r="B24" t="s">
        <v>40</v>
      </c>
      <c r="C24" t="str">
        <f ca="1"/>
        <v>9 - ♥</v>
      </c>
      <c r="D24" t="str">
        <f t="shared" ca="1" si="2"/>
        <v xml:space="preserve">9 </v>
      </c>
      <c r="E24" t="str">
        <f t="shared" ca="1" si="3"/>
        <v>♥</v>
      </c>
      <c r="G24" s="10">
        <v>23</v>
      </c>
      <c r="H24" s="10" t="s">
        <v>67</v>
      </c>
      <c r="J24" s="304" t="s">
        <v>147</v>
      </c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6"/>
      <c r="AX24" s="72" t="s">
        <v>40</v>
      </c>
      <c r="AY24" s="72" t="s">
        <v>40</v>
      </c>
      <c r="AZ24" s="72">
        <v>10</v>
      </c>
      <c r="BA24" s="72" t="s">
        <v>15</v>
      </c>
      <c r="BB24" s="72" t="str">
        <f t="shared" si="4"/>
        <v>11 - ♥</v>
      </c>
      <c r="BC24" s="200" t="str">
        <f t="shared" si="5"/>
        <v>9 - ♥</v>
      </c>
      <c r="BD24" s="201" t="s">
        <v>513</v>
      </c>
    </row>
    <row r="25" spans="1:56" x14ac:dyDescent="0.25">
      <c r="A25">
        <v>24</v>
      </c>
      <c r="B25" t="s">
        <v>41</v>
      </c>
      <c r="C25" t="str">
        <f ca="1"/>
        <v>4 - ♥</v>
      </c>
      <c r="D25" t="str">
        <f t="shared" ca="1" si="2"/>
        <v xml:space="preserve">4 </v>
      </c>
      <c r="E25" t="str">
        <f t="shared" ca="1" si="3"/>
        <v>♥</v>
      </c>
      <c r="G25" s="10">
        <v>24</v>
      </c>
      <c r="H25" s="10"/>
      <c r="J25" s="307"/>
      <c r="K25" s="308"/>
      <c r="L25" s="308"/>
      <c r="M25" s="308"/>
      <c r="N25" s="308"/>
      <c r="O25" s="308"/>
      <c r="P25" s="308"/>
      <c r="Q25" s="308"/>
      <c r="R25" s="308"/>
      <c r="S25" s="308"/>
      <c r="T25" s="308"/>
      <c r="U25" s="308"/>
      <c r="V25" s="308"/>
      <c r="W25" s="309"/>
      <c r="AX25" s="72" t="s">
        <v>41</v>
      </c>
      <c r="AY25" s="72" t="s">
        <v>84</v>
      </c>
      <c r="AZ25" s="72">
        <v>11</v>
      </c>
      <c r="BA25" s="72" t="s">
        <v>15</v>
      </c>
      <c r="BB25" s="72" t="str">
        <f t="shared" si="4"/>
        <v>12 - ♥</v>
      </c>
      <c r="BC25" s="200" t="str">
        <f t="shared" si="5"/>
        <v>10 - ♥</v>
      </c>
      <c r="BD25" s="201" t="s">
        <v>514</v>
      </c>
    </row>
    <row r="26" spans="1:56" x14ac:dyDescent="0.25">
      <c r="A26">
        <v>25</v>
      </c>
      <c r="B26" t="s">
        <v>42</v>
      </c>
      <c r="C26" t="str">
        <f ca="1"/>
        <v>10 - ♥</v>
      </c>
      <c r="D26" t="str">
        <f t="shared" ca="1" si="2"/>
        <v xml:space="preserve">10 </v>
      </c>
      <c r="E26" t="str">
        <f t="shared" ca="1" si="3"/>
        <v>♥</v>
      </c>
      <c r="G26" s="10">
        <v>25</v>
      </c>
      <c r="H26" s="10"/>
      <c r="J26" s="307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8"/>
      <c r="W26" s="309"/>
      <c r="AX26" s="72" t="s">
        <v>42</v>
      </c>
      <c r="AY26" s="72" t="s">
        <v>85</v>
      </c>
      <c r="AZ26" s="72">
        <v>12</v>
      </c>
      <c r="BA26" s="72" t="s">
        <v>15</v>
      </c>
      <c r="BB26" s="72" t="str">
        <f t="shared" si="4"/>
        <v>13 - ♥</v>
      </c>
      <c r="BC26" s="200" t="str">
        <f t="shared" si="5"/>
        <v>11 - ♥</v>
      </c>
      <c r="BD26" s="201" t="s">
        <v>515</v>
      </c>
    </row>
    <row r="27" spans="1:56" x14ac:dyDescent="0.25">
      <c r="A27">
        <v>26</v>
      </c>
      <c r="B27" t="s">
        <v>43</v>
      </c>
      <c r="C27" t="str">
        <f ca="1"/>
        <v>3 - ♦</v>
      </c>
      <c r="D27" t="str">
        <f t="shared" ca="1" si="2"/>
        <v xml:space="preserve">3 </v>
      </c>
      <c r="E27" t="str">
        <f t="shared" ca="1" si="3"/>
        <v>♦</v>
      </c>
      <c r="G27" s="10">
        <v>26</v>
      </c>
      <c r="H27" s="10"/>
      <c r="J27" s="307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9"/>
      <c r="AX27" s="72" t="s">
        <v>43</v>
      </c>
      <c r="AY27" s="72" t="s">
        <v>86</v>
      </c>
      <c r="AZ27" s="72">
        <v>13</v>
      </c>
      <c r="BA27" s="72" t="s">
        <v>15</v>
      </c>
      <c r="BB27" s="72" t="b">
        <v>0</v>
      </c>
      <c r="BC27" s="200" t="str">
        <f t="shared" si="5"/>
        <v>12 - ♥</v>
      </c>
      <c r="BD27" s="201" t="s">
        <v>516</v>
      </c>
    </row>
    <row r="28" spans="1:56" x14ac:dyDescent="0.25">
      <c r="A28">
        <v>27</v>
      </c>
      <c r="B28" t="s">
        <v>44</v>
      </c>
      <c r="C28" t="str">
        <f ca="1"/>
        <v>10 - ♠</v>
      </c>
      <c r="D28" t="str">
        <f t="shared" ca="1" si="2"/>
        <v xml:space="preserve">10 </v>
      </c>
      <c r="E28" t="str">
        <f t="shared" ca="1" si="3"/>
        <v>♠</v>
      </c>
      <c r="G28" s="10">
        <v>27</v>
      </c>
      <c r="H28" s="10"/>
      <c r="J28" s="307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8"/>
      <c r="V28" s="308"/>
      <c r="W28" s="309"/>
      <c r="AX28" s="72" t="s">
        <v>44</v>
      </c>
      <c r="AY28" s="72" t="s">
        <v>87</v>
      </c>
      <c r="AZ28" s="72">
        <v>1</v>
      </c>
      <c r="BA28" s="72" t="s">
        <v>17</v>
      </c>
      <c r="BB28" s="72" t="str">
        <f t="shared" si="4"/>
        <v>2 - ♣</v>
      </c>
      <c r="BC28" s="200" t="b">
        <v>0</v>
      </c>
      <c r="BD28" s="201" t="s">
        <v>517</v>
      </c>
    </row>
    <row r="29" spans="1:56" x14ac:dyDescent="0.25">
      <c r="A29">
        <v>28</v>
      </c>
      <c r="B29" t="s">
        <v>45</v>
      </c>
      <c r="C29" t="str">
        <f ca="1"/>
        <v>12 - ♥</v>
      </c>
      <c r="D29" t="str">
        <f t="shared" ca="1" si="2"/>
        <v xml:space="preserve">12 </v>
      </c>
      <c r="E29" t="str">
        <f t="shared" ca="1" si="3"/>
        <v>♥</v>
      </c>
      <c r="G29" s="10">
        <v>28</v>
      </c>
      <c r="H29" s="10"/>
      <c r="J29" s="307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9"/>
      <c r="AX29" s="72" t="s">
        <v>45</v>
      </c>
      <c r="AY29" s="72" t="s">
        <v>45</v>
      </c>
      <c r="AZ29" s="72">
        <v>2</v>
      </c>
      <c r="BA29" s="72" t="s">
        <v>17</v>
      </c>
      <c r="BB29" s="72" t="str">
        <f t="shared" si="4"/>
        <v>3 - ♣</v>
      </c>
      <c r="BC29" s="200" t="str">
        <f t="shared" si="5"/>
        <v>1 - ♣</v>
      </c>
      <c r="BD29" s="201" t="s">
        <v>499</v>
      </c>
    </row>
    <row r="30" spans="1:56" x14ac:dyDescent="0.25">
      <c r="A30">
        <v>29</v>
      </c>
      <c r="B30" t="s">
        <v>46</v>
      </c>
      <c r="C30" t="str">
        <f ca="1"/>
        <v>6 - ♥</v>
      </c>
      <c r="D30" t="str">
        <f t="shared" ca="1" si="2"/>
        <v xml:space="preserve">6 </v>
      </c>
      <c r="E30" t="str">
        <f t="shared" ca="1" si="3"/>
        <v>♥</v>
      </c>
      <c r="G30" s="10">
        <v>29</v>
      </c>
      <c r="H30" s="10"/>
      <c r="J30" s="307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9"/>
      <c r="AX30" s="72" t="s">
        <v>46</v>
      </c>
      <c r="AY30" s="72" t="s">
        <v>46</v>
      </c>
      <c r="AZ30" s="72">
        <v>3</v>
      </c>
      <c r="BA30" s="72" t="s">
        <v>17</v>
      </c>
      <c r="BB30" s="72" t="str">
        <f t="shared" si="4"/>
        <v>4 - ♣</v>
      </c>
      <c r="BC30" s="200" t="str">
        <f t="shared" si="5"/>
        <v>2 - ♣</v>
      </c>
      <c r="BD30" s="201" t="s">
        <v>500</v>
      </c>
    </row>
    <row r="31" spans="1:56" x14ac:dyDescent="0.25">
      <c r="A31">
        <v>30</v>
      </c>
      <c r="B31" t="s">
        <v>47</v>
      </c>
      <c r="C31" t="str">
        <f ca="1"/>
        <v>13 - ♣</v>
      </c>
      <c r="D31" t="str">
        <f t="shared" ca="1" si="2"/>
        <v xml:space="preserve">13 </v>
      </c>
      <c r="E31" t="str">
        <f t="shared" ca="1" si="3"/>
        <v>♣</v>
      </c>
      <c r="G31" s="10">
        <v>30</v>
      </c>
      <c r="H31" s="10"/>
      <c r="J31" s="307"/>
      <c r="K31" s="308"/>
      <c r="L31" s="308"/>
      <c r="M31" s="308"/>
      <c r="N31" s="308"/>
      <c r="O31" s="308"/>
      <c r="P31" s="308"/>
      <c r="Q31" s="308"/>
      <c r="R31" s="308"/>
      <c r="S31" s="308"/>
      <c r="T31" s="308"/>
      <c r="U31" s="308"/>
      <c r="V31" s="308"/>
      <c r="W31" s="309"/>
      <c r="AX31" s="72" t="s">
        <v>47</v>
      </c>
      <c r="AY31" s="72" t="s">
        <v>47</v>
      </c>
      <c r="AZ31" s="72">
        <v>4</v>
      </c>
      <c r="BA31" s="72" t="s">
        <v>17</v>
      </c>
      <c r="BB31" s="72" t="str">
        <f t="shared" si="4"/>
        <v>5 - ♣</v>
      </c>
      <c r="BC31" s="200" t="str">
        <f t="shared" si="5"/>
        <v>3 - ♣</v>
      </c>
      <c r="BD31" s="201" t="s">
        <v>501</v>
      </c>
    </row>
    <row r="32" spans="1:56" x14ac:dyDescent="0.25">
      <c r="A32">
        <v>31</v>
      </c>
      <c r="B32" t="s">
        <v>48</v>
      </c>
      <c r="C32" t="str">
        <f ca="1"/>
        <v>2 - ♦</v>
      </c>
      <c r="D32" t="str">
        <f t="shared" ca="1" si="2"/>
        <v xml:space="preserve">2 </v>
      </c>
      <c r="E32" t="str">
        <f t="shared" ca="1" si="3"/>
        <v>♦</v>
      </c>
      <c r="G32" s="10">
        <v>31</v>
      </c>
      <c r="H32" s="10"/>
      <c r="J32" s="307"/>
      <c r="K32" s="308"/>
      <c r="L32" s="308"/>
      <c r="M32" s="308"/>
      <c r="N32" s="308"/>
      <c r="O32" s="308"/>
      <c r="P32" s="308"/>
      <c r="Q32" s="308"/>
      <c r="R32" s="308"/>
      <c r="S32" s="308"/>
      <c r="T32" s="308"/>
      <c r="U32" s="308"/>
      <c r="V32" s="308"/>
      <c r="W32" s="309"/>
      <c r="AX32" s="72" t="s">
        <v>48</v>
      </c>
      <c r="AY32" s="72" t="s">
        <v>48</v>
      </c>
      <c r="AZ32" s="72">
        <v>5</v>
      </c>
      <c r="BA32" s="72" t="s">
        <v>17</v>
      </c>
      <c r="BB32" s="72" t="str">
        <f t="shared" si="4"/>
        <v>6 - ♣</v>
      </c>
      <c r="BC32" s="200" t="str">
        <f t="shared" si="5"/>
        <v>4 - ♣</v>
      </c>
      <c r="BD32" s="201" t="s">
        <v>502</v>
      </c>
    </row>
    <row r="33" spans="1:56" x14ac:dyDescent="0.25">
      <c r="A33">
        <v>32</v>
      </c>
      <c r="B33" t="s">
        <v>49</v>
      </c>
      <c r="C33" t="str">
        <f ca="1"/>
        <v>4 - ♣</v>
      </c>
      <c r="D33" t="str">
        <f t="shared" ca="1" si="2"/>
        <v xml:space="preserve">4 </v>
      </c>
      <c r="E33" t="str">
        <f t="shared" ca="1" si="3"/>
        <v>♣</v>
      </c>
      <c r="G33" s="10">
        <v>32</v>
      </c>
      <c r="H33" s="10"/>
      <c r="J33" s="307"/>
      <c r="K33" s="308"/>
      <c r="L33" s="308"/>
      <c r="M33" s="308"/>
      <c r="N33" s="308"/>
      <c r="O33" s="308"/>
      <c r="P33" s="308"/>
      <c r="Q33" s="308"/>
      <c r="R33" s="308"/>
      <c r="S33" s="308"/>
      <c r="T33" s="308"/>
      <c r="U33" s="308"/>
      <c r="V33" s="308"/>
      <c r="W33" s="309"/>
      <c r="AX33" s="72" t="s">
        <v>49</v>
      </c>
      <c r="AY33" s="72" t="s">
        <v>49</v>
      </c>
      <c r="AZ33" s="72">
        <v>6</v>
      </c>
      <c r="BA33" s="72" t="s">
        <v>17</v>
      </c>
      <c r="BB33" s="72" t="str">
        <f t="shared" si="4"/>
        <v>7 - ♣</v>
      </c>
      <c r="BC33" s="200" t="str">
        <f t="shared" si="5"/>
        <v>5 - ♣</v>
      </c>
      <c r="BD33" s="201" t="s">
        <v>503</v>
      </c>
    </row>
    <row r="34" spans="1:56" x14ac:dyDescent="0.25">
      <c r="A34">
        <v>33</v>
      </c>
      <c r="B34" t="s">
        <v>50</v>
      </c>
      <c r="C34" t="str">
        <f ca="1"/>
        <v>13 - ♠</v>
      </c>
      <c r="D34" t="str">
        <f t="shared" ca="1" si="2"/>
        <v xml:space="preserve">13 </v>
      </c>
      <c r="E34" t="str">
        <f t="shared" ca="1" si="3"/>
        <v>♠</v>
      </c>
      <c r="G34" s="10">
        <v>33</v>
      </c>
      <c r="H34" s="10"/>
      <c r="J34" s="307"/>
      <c r="K34" s="308"/>
      <c r="L34" s="308"/>
      <c r="M34" s="308"/>
      <c r="N34" s="308"/>
      <c r="O34" s="308"/>
      <c r="P34" s="308"/>
      <c r="Q34" s="308"/>
      <c r="R34" s="308"/>
      <c r="S34" s="308"/>
      <c r="T34" s="308"/>
      <c r="U34" s="308"/>
      <c r="V34" s="308"/>
      <c r="W34" s="309"/>
      <c r="AX34" s="72" t="s">
        <v>50</v>
      </c>
      <c r="AY34" s="72" t="s">
        <v>50</v>
      </c>
      <c r="AZ34" s="72">
        <v>7</v>
      </c>
      <c r="BA34" s="72" t="s">
        <v>17</v>
      </c>
      <c r="BB34" s="72" t="str">
        <f t="shared" si="4"/>
        <v>8 - ♣</v>
      </c>
      <c r="BC34" s="200" t="str">
        <f t="shared" si="5"/>
        <v>6 - ♣</v>
      </c>
      <c r="BD34" s="201" t="s">
        <v>504</v>
      </c>
    </row>
    <row r="35" spans="1:56" ht="15.75" thickBot="1" x14ac:dyDescent="0.3">
      <c r="A35">
        <v>34</v>
      </c>
      <c r="B35" t="s">
        <v>51</v>
      </c>
      <c r="C35" t="str">
        <f ca="1"/>
        <v>1 - ♥</v>
      </c>
      <c r="D35" t="str">
        <f t="shared" ca="1" si="2"/>
        <v xml:space="preserve">1 </v>
      </c>
      <c r="E35" t="str">
        <f t="shared" ca="1" si="3"/>
        <v>♥</v>
      </c>
      <c r="G35" s="10">
        <v>34</v>
      </c>
      <c r="H35" s="10"/>
      <c r="J35" s="310"/>
      <c r="K35" s="311"/>
      <c r="L35" s="311"/>
      <c r="M35" s="311"/>
      <c r="N35" s="311"/>
      <c r="O35" s="311"/>
      <c r="P35" s="311"/>
      <c r="Q35" s="311"/>
      <c r="R35" s="311"/>
      <c r="S35" s="311"/>
      <c r="T35" s="311"/>
      <c r="U35" s="311"/>
      <c r="V35" s="311"/>
      <c r="W35" s="312"/>
      <c r="AX35" s="72" t="s">
        <v>51</v>
      </c>
      <c r="AY35" s="72" t="s">
        <v>51</v>
      </c>
      <c r="AZ35" s="72">
        <v>8</v>
      </c>
      <c r="BA35" s="72" t="s">
        <v>17</v>
      </c>
      <c r="BB35" s="72" t="str">
        <f t="shared" si="4"/>
        <v>9 - ♣</v>
      </c>
      <c r="BC35" s="200" t="str">
        <f t="shared" si="5"/>
        <v>7 - ♣</v>
      </c>
      <c r="BD35" s="201" t="s">
        <v>505</v>
      </c>
    </row>
    <row r="36" spans="1:56" x14ac:dyDescent="0.25">
      <c r="A36">
        <v>35</v>
      </c>
      <c r="B36" t="s">
        <v>52</v>
      </c>
      <c r="C36" t="str">
        <f ca="1"/>
        <v>8 - ♦</v>
      </c>
      <c r="D36" t="str">
        <f t="shared" ca="1" si="2"/>
        <v xml:space="preserve">8 </v>
      </c>
      <c r="E36" t="str">
        <f t="shared" ca="1" si="3"/>
        <v>♦</v>
      </c>
      <c r="G36" s="10">
        <v>35</v>
      </c>
      <c r="H36" s="10"/>
      <c r="AX36" s="72" t="s">
        <v>52</v>
      </c>
      <c r="AY36" s="72" t="s">
        <v>52</v>
      </c>
      <c r="AZ36" s="72">
        <v>9</v>
      </c>
      <c r="BA36" s="72" t="s">
        <v>17</v>
      </c>
      <c r="BB36" s="72" t="str">
        <f t="shared" si="4"/>
        <v>10 - ♣</v>
      </c>
      <c r="BC36" s="200" t="str">
        <f t="shared" si="5"/>
        <v>8 - ♣</v>
      </c>
      <c r="BD36" s="201" t="s">
        <v>506</v>
      </c>
    </row>
    <row r="37" spans="1:56" x14ac:dyDescent="0.25">
      <c r="A37">
        <v>36</v>
      </c>
      <c r="B37" t="s">
        <v>53</v>
      </c>
      <c r="C37" t="str">
        <f ca="1"/>
        <v>13 - ♠</v>
      </c>
      <c r="D37" t="str">
        <f t="shared" ca="1" si="2"/>
        <v xml:space="preserve">13 </v>
      </c>
      <c r="E37" t="str">
        <f t="shared" ca="1" si="3"/>
        <v>♠</v>
      </c>
      <c r="G37" s="10">
        <v>36</v>
      </c>
      <c r="H37" s="10"/>
      <c r="AX37" s="72" t="s">
        <v>53</v>
      </c>
      <c r="AY37" s="72" t="s">
        <v>53</v>
      </c>
      <c r="AZ37" s="72">
        <v>10</v>
      </c>
      <c r="BA37" s="72" t="s">
        <v>17</v>
      </c>
      <c r="BB37" s="72" t="str">
        <f t="shared" si="4"/>
        <v>11 - ♣</v>
      </c>
      <c r="BC37" s="200" t="str">
        <f t="shared" si="5"/>
        <v>9 - ♣</v>
      </c>
      <c r="BD37" s="201" t="s">
        <v>518</v>
      </c>
    </row>
    <row r="38" spans="1:56" x14ac:dyDescent="0.25">
      <c r="A38">
        <v>37</v>
      </c>
      <c r="B38" t="s">
        <v>54</v>
      </c>
      <c r="C38" t="str">
        <f ca="1"/>
        <v>4 - ♣</v>
      </c>
      <c r="D38" t="str">
        <f t="shared" ca="1" si="2"/>
        <v xml:space="preserve">4 </v>
      </c>
      <c r="E38" t="str">
        <f t="shared" ca="1" si="3"/>
        <v>♣</v>
      </c>
      <c r="G38" s="10">
        <v>37</v>
      </c>
      <c r="H38" s="10"/>
      <c r="AX38" s="72" t="s">
        <v>54</v>
      </c>
      <c r="AY38" s="72" t="s">
        <v>88</v>
      </c>
      <c r="AZ38" s="72">
        <v>11</v>
      </c>
      <c r="BA38" s="72" t="s">
        <v>17</v>
      </c>
      <c r="BB38" s="72" t="str">
        <f t="shared" si="4"/>
        <v>12 - ♣</v>
      </c>
      <c r="BC38" s="200" t="str">
        <f t="shared" si="5"/>
        <v>10 - ♣</v>
      </c>
      <c r="BD38" s="201" t="s">
        <v>519</v>
      </c>
    </row>
    <row r="39" spans="1:56" x14ac:dyDescent="0.25">
      <c r="A39">
        <v>38</v>
      </c>
      <c r="B39" t="s">
        <v>55</v>
      </c>
      <c r="C39" t="str">
        <f ca="1"/>
        <v>2 - ♣</v>
      </c>
      <c r="D39" t="str">
        <f t="shared" ca="1" si="2"/>
        <v xml:space="preserve">2 </v>
      </c>
      <c r="E39" t="str">
        <f t="shared" ca="1" si="3"/>
        <v>♣</v>
      </c>
      <c r="G39" s="10">
        <v>38</v>
      </c>
      <c r="H39" s="10"/>
      <c r="AX39" s="72" t="s">
        <v>55</v>
      </c>
      <c r="AY39" s="72" t="s">
        <v>89</v>
      </c>
      <c r="AZ39" s="72">
        <v>12</v>
      </c>
      <c r="BA39" s="72" t="s">
        <v>17</v>
      </c>
      <c r="BB39" s="72" t="str">
        <f t="shared" si="4"/>
        <v>13 - ♣</v>
      </c>
      <c r="BC39" s="200" t="str">
        <f t="shared" si="5"/>
        <v>11 - ♣</v>
      </c>
      <c r="BD39" s="201" t="s">
        <v>520</v>
      </c>
    </row>
    <row r="40" spans="1:56" x14ac:dyDescent="0.25">
      <c r="A40">
        <v>39</v>
      </c>
      <c r="B40" t="s">
        <v>56</v>
      </c>
      <c r="C40" t="str">
        <f ca="1"/>
        <v>13 - ♦</v>
      </c>
      <c r="D40" t="str">
        <f t="shared" ca="1" si="2"/>
        <v xml:space="preserve">13 </v>
      </c>
      <c r="E40" t="str">
        <f t="shared" ca="1" si="3"/>
        <v>♦</v>
      </c>
      <c r="G40" s="10">
        <v>39</v>
      </c>
      <c r="H40" s="10"/>
      <c r="AX40" s="72" t="s">
        <v>56</v>
      </c>
      <c r="AY40" s="72" t="s">
        <v>90</v>
      </c>
      <c r="AZ40" s="72">
        <v>13</v>
      </c>
      <c r="BA40" s="72" t="s">
        <v>17</v>
      </c>
      <c r="BB40" s="72" t="b">
        <v>0</v>
      </c>
      <c r="BC40" s="200" t="str">
        <f t="shared" si="5"/>
        <v>12 - ♣</v>
      </c>
      <c r="BD40" s="201" t="s">
        <v>521</v>
      </c>
    </row>
    <row r="41" spans="1:56" x14ac:dyDescent="0.25">
      <c r="A41">
        <v>40</v>
      </c>
      <c r="B41" t="s">
        <v>57</v>
      </c>
      <c r="C41" t="str">
        <f ca="1"/>
        <v>3 - ♥</v>
      </c>
      <c r="D41" t="str">
        <f t="shared" ca="1" si="2"/>
        <v xml:space="preserve">3 </v>
      </c>
      <c r="E41" t="str">
        <f t="shared" ca="1" si="3"/>
        <v>♥</v>
      </c>
      <c r="G41" s="10">
        <v>40</v>
      </c>
      <c r="H41" s="10"/>
      <c r="AX41" s="72" t="s">
        <v>57</v>
      </c>
      <c r="AY41" s="72" t="s">
        <v>91</v>
      </c>
      <c r="AZ41" s="72">
        <v>1</v>
      </c>
      <c r="BA41" s="72" t="s">
        <v>16</v>
      </c>
      <c r="BB41" s="72" t="str">
        <f t="shared" si="4"/>
        <v>2 - ♦</v>
      </c>
      <c r="BC41" s="200" t="b">
        <v>0</v>
      </c>
      <c r="BD41" s="201" t="s">
        <v>522</v>
      </c>
    </row>
    <row r="42" spans="1:56" x14ac:dyDescent="0.25">
      <c r="A42">
        <v>41</v>
      </c>
      <c r="B42" t="s">
        <v>58</v>
      </c>
      <c r="C42" t="str">
        <f ca="1"/>
        <v>11 - ♦</v>
      </c>
      <c r="D42" t="str">
        <f t="shared" ca="1" si="2"/>
        <v xml:space="preserve">11 </v>
      </c>
      <c r="E42" t="str">
        <f t="shared" ca="1" si="3"/>
        <v>♦</v>
      </c>
      <c r="G42" s="10">
        <v>41</v>
      </c>
      <c r="H42" s="10"/>
      <c r="AX42" s="72" t="s">
        <v>58</v>
      </c>
      <c r="AY42" s="72" t="s">
        <v>58</v>
      </c>
      <c r="AZ42" s="72">
        <v>2</v>
      </c>
      <c r="BA42" s="72" t="s">
        <v>16</v>
      </c>
      <c r="BB42" s="72" t="str">
        <f t="shared" si="4"/>
        <v>3 - ♦</v>
      </c>
      <c r="BC42" s="200" t="str">
        <f t="shared" si="5"/>
        <v>1 - ♦</v>
      </c>
      <c r="BD42" s="201" t="s">
        <v>523</v>
      </c>
    </row>
    <row r="43" spans="1:56" x14ac:dyDescent="0.25">
      <c r="A43">
        <v>42</v>
      </c>
      <c r="B43" t="s">
        <v>59</v>
      </c>
      <c r="C43" t="str">
        <f ca="1"/>
        <v>12 - ♥</v>
      </c>
      <c r="D43" t="str">
        <f t="shared" ca="1" si="2"/>
        <v xml:space="preserve">12 </v>
      </c>
      <c r="E43" t="str">
        <f t="shared" ca="1" si="3"/>
        <v>♥</v>
      </c>
      <c r="G43" s="10">
        <v>42</v>
      </c>
      <c r="H43" s="10"/>
      <c r="AX43" s="72" t="s">
        <v>59</v>
      </c>
      <c r="AY43" s="72" t="s">
        <v>59</v>
      </c>
      <c r="AZ43" s="72">
        <v>3</v>
      </c>
      <c r="BA43" s="72" t="s">
        <v>16</v>
      </c>
      <c r="BB43" s="72" t="str">
        <f t="shared" si="4"/>
        <v>4 - ♦</v>
      </c>
      <c r="BC43" s="200" t="str">
        <f t="shared" si="5"/>
        <v>2 - ♦</v>
      </c>
      <c r="BD43" s="201" t="s">
        <v>524</v>
      </c>
    </row>
    <row r="44" spans="1:56" x14ac:dyDescent="0.25">
      <c r="A44">
        <v>43</v>
      </c>
      <c r="B44" t="s">
        <v>60</v>
      </c>
      <c r="C44" t="str">
        <f ca="1"/>
        <v>11 - ♠</v>
      </c>
      <c r="D44" t="str">
        <f t="shared" ca="1" si="2"/>
        <v xml:space="preserve">11 </v>
      </c>
      <c r="E44" t="str">
        <f t="shared" ca="1" si="3"/>
        <v>♠</v>
      </c>
      <c r="G44" s="10">
        <v>43</v>
      </c>
      <c r="H44" s="10"/>
      <c r="AX44" s="72" t="s">
        <v>60</v>
      </c>
      <c r="AY44" s="72" t="s">
        <v>60</v>
      </c>
      <c r="AZ44" s="72">
        <v>4</v>
      </c>
      <c r="BA44" s="72" t="s">
        <v>16</v>
      </c>
      <c r="BB44" s="72" t="str">
        <f t="shared" si="4"/>
        <v>5 - ♦</v>
      </c>
      <c r="BC44" s="200" t="str">
        <f t="shared" si="5"/>
        <v>3 - ♦</v>
      </c>
      <c r="BD44" s="201" t="s">
        <v>525</v>
      </c>
    </row>
    <row r="45" spans="1:56" x14ac:dyDescent="0.25">
      <c r="A45">
        <v>44</v>
      </c>
      <c r="B45" t="s">
        <v>61</v>
      </c>
      <c r="C45" t="str">
        <f ca="1"/>
        <v>9 - ♥</v>
      </c>
      <c r="D45" t="str">
        <f t="shared" ca="1" si="2"/>
        <v xml:space="preserve">9 </v>
      </c>
      <c r="E45" t="str">
        <f t="shared" ca="1" si="3"/>
        <v>♥</v>
      </c>
      <c r="G45" s="10">
        <v>44</v>
      </c>
      <c r="H45" s="10"/>
      <c r="AX45" s="72" t="s">
        <v>61</v>
      </c>
      <c r="AY45" s="72" t="s">
        <v>61</v>
      </c>
      <c r="AZ45" s="72">
        <v>5</v>
      </c>
      <c r="BA45" s="72" t="s">
        <v>16</v>
      </c>
      <c r="BB45" s="72" t="str">
        <f t="shared" si="4"/>
        <v>6 - ♦</v>
      </c>
      <c r="BC45" s="200" t="str">
        <f t="shared" si="5"/>
        <v>4 - ♦</v>
      </c>
      <c r="BD45" s="201" t="s">
        <v>526</v>
      </c>
    </row>
    <row r="46" spans="1:56" x14ac:dyDescent="0.25">
      <c r="A46">
        <v>45</v>
      </c>
      <c r="B46" t="s">
        <v>62</v>
      </c>
      <c r="C46" t="str">
        <f ca="1"/>
        <v>8 - ♠</v>
      </c>
      <c r="D46" t="str">
        <f t="shared" ca="1" si="2"/>
        <v xml:space="preserve">8 </v>
      </c>
      <c r="E46" t="str">
        <f t="shared" ca="1" si="3"/>
        <v>♠</v>
      </c>
      <c r="G46" s="10">
        <v>45</v>
      </c>
      <c r="H46" s="10"/>
      <c r="AX46" s="72" t="s">
        <v>62</v>
      </c>
      <c r="AY46" s="72" t="s">
        <v>62</v>
      </c>
      <c r="AZ46" s="72">
        <v>6</v>
      </c>
      <c r="BA46" s="72" t="s">
        <v>16</v>
      </c>
      <c r="BB46" s="72" t="str">
        <f t="shared" si="4"/>
        <v>7 - ♦</v>
      </c>
      <c r="BC46" s="200" t="str">
        <f t="shared" si="5"/>
        <v>5 - ♦</v>
      </c>
      <c r="BD46" s="201" t="s">
        <v>527</v>
      </c>
    </row>
    <row r="47" spans="1:56" x14ac:dyDescent="0.25">
      <c r="A47">
        <v>46</v>
      </c>
      <c r="B47" t="s">
        <v>63</v>
      </c>
      <c r="C47" t="str">
        <f ca="1"/>
        <v>7 - ♠</v>
      </c>
      <c r="D47" t="str">
        <f t="shared" ca="1" si="2"/>
        <v xml:space="preserve">7 </v>
      </c>
      <c r="E47" t="str">
        <f t="shared" ca="1" si="3"/>
        <v>♠</v>
      </c>
      <c r="G47" s="10">
        <v>46</v>
      </c>
      <c r="H47" s="10"/>
      <c r="AX47" s="72" t="s">
        <v>63</v>
      </c>
      <c r="AY47" s="72" t="s">
        <v>63</v>
      </c>
      <c r="AZ47" s="72">
        <v>7</v>
      </c>
      <c r="BA47" s="72" t="s">
        <v>16</v>
      </c>
      <c r="BB47" s="72" t="str">
        <f t="shared" si="4"/>
        <v>8 - ♦</v>
      </c>
      <c r="BC47" s="200" t="str">
        <f t="shared" si="5"/>
        <v>6 - ♦</v>
      </c>
      <c r="BD47" s="201" t="s">
        <v>528</v>
      </c>
    </row>
    <row r="48" spans="1:56" x14ac:dyDescent="0.25">
      <c r="A48">
        <v>47</v>
      </c>
      <c r="B48" t="s">
        <v>64</v>
      </c>
      <c r="C48" t="str">
        <f ca="1"/>
        <v>11 - ♥</v>
      </c>
      <c r="D48" t="str">
        <f t="shared" ca="1" si="2"/>
        <v xml:space="preserve">11 </v>
      </c>
      <c r="E48" t="str">
        <f t="shared" ca="1" si="3"/>
        <v>♥</v>
      </c>
      <c r="G48" s="10">
        <v>47</v>
      </c>
      <c r="H48" s="10"/>
      <c r="AX48" s="72" t="s">
        <v>64</v>
      </c>
      <c r="AY48" s="72" t="s">
        <v>64</v>
      </c>
      <c r="AZ48" s="72">
        <v>8</v>
      </c>
      <c r="BA48" s="72" t="s">
        <v>16</v>
      </c>
      <c r="BB48" s="72" t="str">
        <f t="shared" si="4"/>
        <v>9 - ♦</v>
      </c>
      <c r="BC48" s="200" t="str">
        <f t="shared" si="5"/>
        <v>7 - ♦</v>
      </c>
      <c r="BD48" s="201" t="s">
        <v>529</v>
      </c>
    </row>
    <row r="49" spans="1:56" x14ac:dyDescent="0.25">
      <c r="A49">
        <v>48</v>
      </c>
      <c r="B49" t="s">
        <v>65</v>
      </c>
      <c r="C49" t="str">
        <f ca="1"/>
        <v>10 - ♥</v>
      </c>
      <c r="D49" t="str">
        <f t="shared" ca="1" si="2"/>
        <v xml:space="preserve">10 </v>
      </c>
      <c r="E49" t="str">
        <f t="shared" ca="1" si="3"/>
        <v>♥</v>
      </c>
      <c r="G49" s="10">
        <v>48</v>
      </c>
      <c r="H49" s="10"/>
      <c r="AX49" s="72" t="s">
        <v>65</v>
      </c>
      <c r="AY49" s="72" t="s">
        <v>65</v>
      </c>
      <c r="AZ49" s="72">
        <v>9</v>
      </c>
      <c r="BA49" s="72" t="s">
        <v>16</v>
      </c>
      <c r="BB49" s="72" t="str">
        <f t="shared" si="4"/>
        <v>10 - ♦</v>
      </c>
      <c r="BC49" s="200" t="str">
        <f t="shared" si="5"/>
        <v>8 - ♦</v>
      </c>
      <c r="BD49" s="201" t="s">
        <v>530</v>
      </c>
    </row>
    <row r="50" spans="1:56" x14ac:dyDescent="0.25">
      <c r="A50">
        <v>49</v>
      </c>
      <c r="B50" t="s">
        <v>66</v>
      </c>
      <c r="C50" t="str">
        <f ca="1"/>
        <v>7 - ♦</v>
      </c>
      <c r="D50" t="str">
        <f t="shared" ca="1" si="2"/>
        <v xml:space="preserve">7 </v>
      </c>
      <c r="E50" t="str">
        <f t="shared" ca="1" si="3"/>
        <v>♦</v>
      </c>
      <c r="G50" s="10">
        <v>49</v>
      </c>
      <c r="H50" s="10"/>
      <c r="AX50" s="72" t="s">
        <v>66</v>
      </c>
      <c r="AY50" s="72" t="s">
        <v>66</v>
      </c>
      <c r="AZ50" s="72">
        <v>10</v>
      </c>
      <c r="BA50" s="72" t="s">
        <v>16</v>
      </c>
      <c r="BB50" s="72" t="str">
        <f t="shared" si="4"/>
        <v>11 - ♦</v>
      </c>
      <c r="BC50" s="200" t="str">
        <f t="shared" si="5"/>
        <v>9 - ♦</v>
      </c>
      <c r="BD50" s="201" t="s">
        <v>531</v>
      </c>
    </row>
    <row r="51" spans="1:56" x14ac:dyDescent="0.25">
      <c r="A51">
        <v>50</v>
      </c>
      <c r="B51" t="s">
        <v>67</v>
      </c>
      <c r="C51" t="str">
        <f ca="1"/>
        <v>10 - ♣</v>
      </c>
      <c r="D51" t="str">
        <f t="shared" ca="1" si="2"/>
        <v xml:space="preserve">10 </v>
      </c>
      <c r="E51" t="str">
        <f t="shared" ca="1" si="3"/>
        <v>♣</v>
      </c>
      <c r="G51" s="8">
        <v>50</v>
      </c>
      <c r="H51" s="8"/>
      <c r="AX51" s="72" t="s">
        <v>67</v>
      </c>
      <c r="AY51" s="72" t="s">
        <v>92</v>
      </c>
      <c r="AZ51" s="72">
        <v>11</v>
      </c>
      <c r="BA51" s="72" t="s">
        <v>16</v>
      </c>
      <c r="BB51" s="72" t="str">
        <f t="shared" si="4"/>
        <v>12 - ♦</v>
      </c>
      <c r="BC51" s="200" t="str">
        <f t="shared" si="5"/>
        <v>10 - ♦</v>
      </c>
      <c r="BD51" s="201" t="s">
        <v>532</v>
      </c>
    </row>
    <row r="52" spans="1:56" x14ac:dyDescent="0.25">
      <c r="A52">
        <v>51</v>
      </c>
      <c r="B52" t="s">
        <v>68</v>
      </c>
      <c r="C52" t="str">
        <f ca="1"/>
        <v>3 - ♠</v>
      </c>
      <c r="D52" t="str">
        <f t="shared" ca="1" si="2"/>
        <v xml:space="preserve">3 </v>
      </c>
      <c r="E52" t="str">
        <f t="shared" ca="1" si="3"/>
        <v>♠</v>
      </c>
      <c r="AX52" s="72" t="s">
        <v>68</v>
      </c>
      <c r="AY52" s="72" t="s">
        <v>93</v>
      </c>
      <c r="AZ52" s="72">
        <v>12</v>
      </c>
      <c r="BA52" s="72" t="s">
        <v>16</v>
      </c>
      <c r="BB52" s="72" t="str">
        <f t="shared" si="4"/>
        <v>13 - ♦</v>
      </c>
      <c r="BC52" s="200" t="str">
        <f t="shared" si="5"/>
        <v>11 - ♦</v>
      </c>
      <c r="BD52" s="201" t="s">
        <v>533</v>
      </c>
    </row>
    <row r="53" spans="1:56" x14ac:dyDescent="0.25">
      <c r="A53">
        <v>52</v>
      </c>
      <c r="B53" t="s">
        <v>69</v>
      </c>
      <c r="C53" t="str">
        <f ca="1"/>
        <v>5 - ♥</v>
      </c>
      <c r="D53" t="str">
        <f t="shared" ca="1" si="2"/>
        <v xml:space="preserve">5 </v>
      </c>
      <c r="E53" t="str">
        <f t="shared" ca="1" si="3"/>
        <v>♥</v>
      </c>
      <c r="AX53" s="72" t="s">
        <v>69</v>
      </c>
      <c r="AY53" s="72" t="s">
        <v>94</v>
      </c>
      <c r="AZ53" s="72">
        <v>13</v>
      </c>
      <c r="BA53" s="72" t="s">
        <v>16</v>
      </c>
      <c r="BB53" s="72" t="b">
        <v>0</v>
      </c>
      <c r="BC53" s="200" t="str">
        <f t="shared" si="5"/>
        <v>12 - ♦</v>
      </c>
      <c r="BD53" s="201" t="s">
        <v>534</v>
      </c>
    </row>
    <row r="54" spans="1:56" x14ac:dyDescent="0.25">
      <c r="A54">
        <v>53</v>
      </c>
      <c r="B54" t="s">
        <v>18</v>
      </c>
      <c r="C54" t="str">
        <f ca="1"/>
        <v>6 - ♣</v>
      </c>
      <c r="D54" t="str">
        <f t="shared" ca="1" si="2"/>
        <v xml:space="preserve">6 </v>
      </c>
      <c r="E54" t="str">
        <f t="shared" ca="1" si="3"/>
        <v>♣</v>
      </c>
    </row>
    <row r="55" spans="1:56" x14ac:dyDescent="0.25">
      <c r="A55">
        <v>54</v>
      </c>
      <c r="B55" t="s">
        <v>19</v>
      </c>
      <c r="C55" t="str">
        <f ca="1"/>
        <v>7 - ♣</v>
      </c>
      <c r="D55" t="str">
        <f t="shared" ca="1" si="2"/>
        <v xml:space="preserve">7 </v>
      </c>
      <c r="E55" t="str">
        <f t="shared" ca="1" si="3"/>
        <v>♣</v>
      </c>
    </row>
    <row r="56" spans="1:56" x14ac:dyDescent="0.25">
      <c r="A56">
        <v>55</v>
      </c>
      <c r="B56" t="s">
        <v>20</v>
      </c>
      <c r="C56" t="str">
        <f ca="1"/>
        <v>5 - ♣</v>
      </c>
      <c r="D56" t="str">
        <f t="shared" ca="1" si="2"/>
        <v xml:space="preserve">5 </v>
      </c>
      <c r="E56" t="str">
        <f t="shared" ca="1" si="3"/>
        <v>♣</v>
      </c>
    </row>
    <row r="57" spans="1:56" x14ac:dyDescent="0.25">
      <c r="A57">
        <v>56</v>
      </c>
      <c r="B57" t="s">
        <v>21</v>
      </c>
      <c r="C57" t="str">
        <f ca="1"/>
        <v>1 - ♦</v>
      </c>
      <c r="D57" t="str">
        <f t="shared" ca="1" si="2"/>
        <v xml:space="preserve">1 </v>
      </c>
      <c r="E57" t="str">
        <f t="shared" ca="1" si="3"/>
        <v>♦</v>
      </c>
    </row>
    <row r="58" spans="1:56" x14ac:dyDescent="0.25">
      <c r="A58">
        <v>57</v>
      </c>
      <c r="B58" t="s">
        <v>22</v>
      </c>
      <c r="C58" t="str">
        <f ca="1"/>
        <v>2 - ♦</v>
      </c>
      <c r="D58" t="str">
        <f t="shared" ca="1" si="2"/>
        <v xml:space="preserve">2 </v>
      </c>
      <c r="E58" t="str">
        <f t="shared" ca="1" si="3"/>
        <v>♦</v>
      </c>
    </row>
    <row r="59" spans="1:56" x14ac:dyDescent="0.25">
      <c r="A59">
        <v>58</v>
      </c>
      <c r="B59" t="s">
        <v>23</v>
      </c>
      <c r="C59" t="str">
        <f ca="1"/>
        <v>11 - ♣</v>
      </c>
      <c r="D59" t="str">
        <f t="shared" ca="1" si="2"/>
        <v xml:space="preserve">11 </v>
      </c>
      <c r="E59" t="str">
        <f t="shared" ca="1" si="3"/>
        <v>♣</v>
      </c>
    </row>
    <row r="60" spans="1:56" x14ac:dyDescent="0.25">
      <c r="A60">
        <v>59</v>
      </c>
      <c r="B60" t="s">
        <v>24</v>
      </c>
      <c r="C60" t="str">
        <f ca="1"/>
        <v>7 - ♠</v>
      </c>
      <c r="D60" t="str">
        <f t="shared" ca="1" si="2"/>
        <v xml:space="preserve">7 </v>
      </c>
      <c r="E60" t="str">
        <f t="shared" ca="1" si="3"/>
        <v>♠</v>
      </c>
    </row>
    <row r="61" spans="1:56" x14ac:dyDescent="0.25">
      <c r="A61">
        <v>60</v>
      </c>
      <c r="B61" t="s">
        <v>25</v>
      </c>
      <c r="C61" t="str">
        <f ca="1"/>
        <v>5 - ♦</v>
      </c>
      <c r="D61" t="str">
        <f t="shared" ca="1" si="2"/>
        <v xml:space="preserve">5 </v>
      </c>
      <c r="E61" t="str">
        <f t="shared" ca="1" si="3"/>
        <v>♦</v>
      </c>
    </row>
    <row r="62" spans="1:56" x14ac:dyDescent="0.25">
      <c r="A62">
        <v>61</v>
      </c>
      <c r="B62" t="s">
        <v>26</v>
      </c>
      <c r="C62" t="str">
        <f ca="1"/>
        <v>12 - ♣</v>
      </c>
      <c r="D62" t="str">
        <f t="shared" ca="1" si="2"/>
        <v xml:space="preserve">12 </v>
      </c>
      <c r="E62" t="str">
        <f t="shared" ca="1" si="3"/>
        <v>♣</v>
      </c>
    </row>
    <row r="63" spans="1:56" x14ac:dyDescent="0.25">
      <c r="A63">
        <v>62</v>
      </c>
      <c r="B63" t="s">
        <v>27</v>
      </c>
      <c r="C63" t="str">
        <f ca="1"/>
        <v>9 - ♠</v>
      </c>
      <c r="D63" t="str">
        <f t="shared" ca="1" si="2"/>
        <v xml:space="preserve">9 </v>
      </c>
      <c r="E63" t="str">
        <f t="shared" ca="1" si="3"/>
        <v>♠</v>
      </c>
    </row>
    <row r="64" spans="1:56" x14ac:dyDescent="0.25">
      <c r="A64">
        <v>63</v>
      </c>
      <c r="B64" t="s">
        <v>28</v>
      </c>
      <c r="C64" t="str">
        <f ca="1"/>
        <v>7 - ♦</v>
      </c>
      <c r="D64" t="str">
        <f t="shared" ca="1" si="2"/>
        <v xml:space="preserve">7 </v>
      </c>
      <c r="E64" t="str">
        <f t="shared" ca="1" si="3"/>
        <v>♦</v>
      </c>
    </row>
    <row r="65" spans="1:5" x14ac:dyDescent="0.25">
      <c r="A65">
        <v>64</v>
      </c>
      <c r="B65" t="s">
        <v>29</v>
      </c>
      <c r="C65" t="str">
        <f ca="1"/>
        <v>8 - ♠</v>
      </c>
      <c r="D65" t="str">
        <f t="shared" ca="1" si="2"/>
        <v xml:space="preserve">8 </v>
      </c>
      <c r="E65" t="str">
        <f t="shared" ca="1" si="3"/>
        <v>♠</v>
      </c>
    </row>
    <row r="66" spans="1:5" x14ac:dyDescent="0.25">
      <c r="A66">
        <v>65</v>
      </c>
      <c r="B66" t="s">
        <v>30</v>
      </c>
      <c r="C66" t="str">
        <f ca="1"/>
        <v>9 - ♠</v>
      </c>
      <c r="D66" t="str">
        <f t="shared" ca="1" si="2"/>
        <v xml:space="preserve">9 </v>
      </c>
      <c r="E66" t="str">
        <f t="shared" ca="1" si="3"/>
        <v>♠</v>
      </c>
    </row>
    <row r="67" spans="1:5" x14ac:dyDescent="0.25">
      <c r="A67">
        <v>66</v>
      </c>
      <c r="B67" t="s">
        <v>31</v>
      </c>
      <c r="C67" t="str">
        <f ca="1"/>
        <v>2 - ♥</v>
      </c>
      <c r="D67" t="str">
        <f t="shared" ref="D67:D105" ca="1" si="7">LEFT(C67,FIND("-",C67)-1)</f>
        <v xml:space="preserve">2 </v>
      </c>
      <c r="E67" t="str">
        <f t="shared" ref="E67:E105" ca="1" si="8">RIGHT(C67,1)</f>
        <v>♥</v>
      </c>
    </row>
    <row r="68" spans="1:5" x14ac:dyDescent="0.25">
      <c r="A68">
        <v>67</v>
      </c>
      <c r="B68" t="s">
        <v>32</v>
      </c>
      <c r="C68" t="str">
        <f ca="1"/>
        <v>13 - ♦</v>
      </c>
      <c r="D68" t="str">
        <f t="shared" ca="1" si="7"/>
        <v xml:space="preserve">13 </v>
      </c>
      <c r="E68" t="str">
        <f t="shared" ca="1" si="8"/>
        <v>♦</v>
      </c>
    </row>
    <row r="69" spans="1:5" x14ac:dyDescent="0.25">
      <c r="A69">
        <v>68</v>
      </c>
      <c r="B69" t="s">
        <v>33</v>
      </c>
      <c r="C69" t="str">
        <f ca="1"/>
        <v>9 - ♦</v>
      </c>
      <c r="D69" t="str">
        <f t="shared" ca="1" si="7"/>
        <v xml:space="preserve">9 </v>
      </c>
      <c r="E69" t="str">
        <f t="shared" ca="1" si="8"/>
        <v>♦</v>
      </c>
    </row>
    <row r="70" spans="1:5" x14ac:dyDescent="0.25">
      <c r="A70">
        <v>69</v>
      </c>
      <c r="B70" t="s">
        <v>34</v>
      </c>
      <c r="C70" t="str">
        <f ca="1"/>
        <v>13 - ♥</v>
      </c>
      <c r="D70" t="str">
        <f t="shared" ca="1" si="7"/>
        <v xml:space="preserve">13 </v>
      </c>
      <c r="E70" t="str">
        <f t="shared" ca="1" si="8"/>
        <v>♥</v>
      </c>
    </row>
    <row r="71" spans="1:5" x14ac:dyDescent="0.25">
      <c r="A71">
        <v>70</v>
      </c>
      <c r="B71" t="s">
        <v>35</v>
      </c>
      <c r="C71" t="str">
        <f ca="1"/>
        <v>4 - ♥</v>
      </c>
      <c r="D71" t="str">
        <f t="shared" ca="1" si="7"/>
        <v xml:space="preserve">4 </v>
      </c>
      <c r="E71" t="str">
        <f t="shared" ca="1" si="8"/>
        <v>♥</v>
      </c>
    </row>
    <row r="72" spans="1:5" x14ac:dyDescent="0.25">
      <c r="A72">
        <v>71</v>
      </c>
      <c r="B72" t="s">
        <v>36</v>
      </c>
      <c r="C72" t="str">
        <f ca="1"/>
        <v>12 - ♠</v>
      </c>
      <c r="D72" t="str">
        <f t="shared" ca="1" si="7"/>
        <v xml:space="preserve">12 </v>
      </c>
      <c r="E72" t="str">
        <f t="shared" ca="1" si="8"/>
        <v>♠</v>
      </c>
    </row>
    <row r="73" spans="1:5" x14ac:dyDescent="0.25">
      <c r="A73">
        <v>72</v>
      </c>
      <c r="B73" t="s">
        <v>37</v>
      </c>
      <c r="C73" t="str">
        <f ca="1"/>
        <v>1 - ♠</v>
      </c>
      <c r="D73" t="str">
        <f t="shared" ca="1" si="7"/>
        <v xml:space="preserve">1 </v>
      </c>
      <c r="E73" t="str">
        <f t="shared" ca="1" si="8"/>
        <v>♠</v>
      </c>
    </row>
    <row r="74" spans="1:5" x14ac:dyDescent="0.25">
      <c r="A74">
        <v>73</v>
      </c>
      <c r="B74" t="s">
        <v>38</v>
      </c>
      <c r="C74" t="str">
        <f ca="1"/>
        <v>3 - ♦</v>
      </c>
      <c r="D74" t="str">
        <f t="shared" ca="1" si="7"/>
        <v xml:space="preserve">3 </v>
      </c>
      <c r="E74" t="str">
        <f t="shared" ca="1" si="8"/>
        <v>♦</v>
      </c>
    </row>
    <row r="75" spans="1:5" x14ac:dyDescent="0.25">
      <c r="A75">
        <v>74</v>
      </c>
      <c r="B75" t="s">
        <v>39</v>
      </c>
      <c r="C75" t="str">
        <f ca="1"/>
        <v>8 - ♣</v>
      </c>
      <c r="D75" t="str">
        <f t="shared" ca="1" si="7"/>
        <v xml:space="preserve">8 </v>
      </c>
      <c r="E75" t="str">
        <f t="shared" ca="1" si="8"/>
        <v>♣</v>
      </c>
    </row>
    <row r="76" spans="1:5" x14ac:dyDescent="0.25">
      <c r="A76">
        <v>75</v>
      </c>
      <c r="B76" t="s">
        <v>40</v>
      </c>
      <c r="C76" t="str">
        <f ca="1"/>
        <v>10 - ♦</v>
      </c>
      <c r="D76" t="str">
        <f t="shared" ca="1" si="7"/>
        <v xml:space="preserve">10 </v>
      </c>
      <c r="E76" t="str">
        <f t="shared" ca="1" si="8"/>
        <v>♦</v>
      </c>
    </row>
    <row r="77" spans="1:5" x14ac:dyDescent="0.25">
      <c r="A77">
        <v>76</v>
      </c>
      <c r="B77" t="s">
        <v>41</v>
      </c>
      <c r="C77" t="str">
        <f ca="1"/>
        <v>3 - ♠</v>
      </c>
      <c r="D77" t="str">
        <f t="shared" ca="1" si="7"/>
        <v xml:space="preserve">3 </v>
      </c>
      <c r="E77" t="str">
        <f t="shared" ca="1" si="8"/>
        <v>♠</v>
      </c>
    </row>
    <row r="78" spans="1:5" x14ac:dyDescent="0.25">
      <c r="A78">
        <v>77</v>
      </c>
      <c r="B78" t="s">
        <v>42</v>
      </c>
      <c r="C78" t="str">
        <f ca="1"/>
        <v>10 - ♣</v>
      </c>
      <c r="D78" t="str">
        <f t="shared" ca="1" si="7"/>
        <v xml:space="preserve">10 </v>
      </c>
      <c r="E78" t="str">
        <f t="shared" ca="1" si="8"/>
        <v>♣</v>
      </c>
    </row>
    <row r="79" spans="1:5" x14ac:dyDescent="0.25">
      <c r="A79">
        <v>78</v>
      </c>
      <c r="B79" t="s">
        <v>43</v>
      </c>
      <c r="C79" t="str">
        <f ca="1"/>
        <v>12 - ♣</v>
      </c>
      <c r="D79" t="str">
        <f t="shared" ca="1" si="7"/>
        <v xml:space="preserve">12 </v>
      </c>
      <c r="E79" t="str">
        <f t="shared" ca="1" si="8"/>
        <v>♣</v>
      </c>
    </row>
    <row r="80" spans="1:5" x14ac:dyDescent="0.25">
      <c r="A80">
        <v>79</v>
      </c>
      <c r="B80" t="s">
        <v>44</v>
      </c>
      <c r="C80" t="str">
        <f ca="1"/>
        <v>6 - ♦</v>
      </c>
      <c r="D80" t="str">
        <f t="shared" ca="1" si="7"/>
        <v xml:space="preserve">6 </v>
      </c>
      <c r="E80" t="str">
        <f t="shared" ca="1" si="8"/>
        <v>♦</v>
      </c>
    </row>
    <row r="81" spans="1:5" x14ac:dyDescent="0.25">
      <c r="A81">
        <v>80</v>
      </c>
      <c r="B81" t="s">
        <v>45</v>
      </c>
      <c r="C81" t="str">
        <f ca="1"/>
        <v>3 - ♣</v>
      </c>
      <c r="D81" t="str">
        <f t="shared" ca="1" si="7"/>
        <v xml:space="preserve">3 </v>
      </c>
      <c r="E81" t="str">
        <f t="shared" ca="1" si="8"/>
        <v>♣</v>
      </c>
    </row>
    <row r="82" spans="1:5" x14ac:dyDescent="0.25">
      <c r="A82">
        <v>81</v>
      </c>
      <c r="B82" t="s">
        <v>46</v>
      </c>
      <c r="C82" t="str">
        <f ca="1"/>
        <v>1 - ♦</v>
      </c>
      <c r="D82" t="str">
        <f t="shared" ca="1" si="7"/>
        <v xml:space="preserve">1 </v>
      </c>
      <c r="E82" t="str">
        <f t="shared" ca="1" si="8"/>
        <v>♦</v>
      </c>
    </row>
    <row r="83" spans="1:5" x14ac:dyDescent="0.25">
      <c r="A83">
        <v>82</v>
      </c>
      <c r="B83" t="s">
        <v>47</v>
      </c>
      <c r="C83" t="str">
        <f ca="1"/>
        <v>4 - ♦</v>
      </c>
      <c r="D83" t="str">
        <f t="shared" ca="1" si="7"/>
        <v xml:space="preserve">4 </v>
      </c>
      <c r="E83" t="str">
        <f t="shared" ca="1" si="8"/>
        <v>♦</v>
      </c>
    </row>
    <row r="84" spans="1:5" x14ac:dyDescent="0.25">
      <c r="A84">
        <v>83</v>
      </c>
      <c r="B84" t="s">
        <v>48</v>
      </c>
      <c r="C84" t="str">
        <f ca="1"/>
        <v>12 - ♦</v>
      </c>
      <c r="D84" t="str">
        <f t="shared" ca="1" si="7"/>
        <v xml:space="preserve">12 </v>
      </c>
      <c r="E84" t="str">
        <f t="shared" ca="1" si="8"/>
        <v>♦</v>
      </c>
    </row>
    <row r="85" spans="1:5" x14ac:dyDescent="0.25">
      <c r="A85">
        <v>84</v>
      </c>
      <c r="B85" t="s">
        <v>49</v>
      </c>
      <c r="C85" t="str">
        <f ca="1"/>
        <v>8 - ♦</v>
      </c>
      <c r="D85" t="str">
        <f t="shared" ca="1" si="7"/>
        <v xml:space="preserve">8 </v>
      </c>
      <c r="E85" t="str">
        <f t="shared" ca="1" si="8"/>
        <v>♦</v>
      </c>
    </row>
    <row r="86" spans="1:5" x14ac:dyDescent="0.25">
      <c r="A86">
        <v>85</v>
      </c>
      <c r="B86" t="s">
        <v>50</v>
      </c>
      <c r="C86" t="str">
        <f ca="1"/>
        <v>9 - ♣</v>
      </c>
      <c r="D86" t="str">
        <f t="shared" ca="1" si="7"/>
        <v xml:space="preserve">9 </v>
      </c>
      <c r="E86" t="str">
        <f t="shared" ca="1" si="8"/>
        <v>♣</v>
      </c>
    </row>
    <row r="87" spans="1:5" x14ac:dyDescent="0.25">
      <c r="A87">
        <v>86</v>
      </c>
      <c r="B87" t="s">
        <v>51</v>
      </c>
      <c r="C87" t="str">
        <f ca="1"/>
        <v>3 - ♥</v>
      </c>
      <c r="D87" t="str">
        <f t="shared" ca="1" si="7"/>
        <v xml:space="preserve">3 </v>
      </c>
      <c r="E87" t="str">
        <f t="shared" ca="1" si="8"/>
        <v>♥</v>
      </c>
    </row>
    <row r="88" spans="1:5" x14ac:dyDescent="0.25">
      <c r="A88">
        <v>87</v>
      </c>
      <c r="B88" t="s">
        <v>52</v>
      </c>
      <c r="C88" t="str">
        <f ca="1"/>
        <v>6 - ♠</v>
      </c>
      <c r="D88" t="str">
        <f t="shared" ca="1" si="7"/>
        <v xml:space="preserve">6 </v>
      </c>
      <c r="E88" t="str">
        <f t="shared" ca="1" si="8"/>
        <v>♠</v>
      </c>
    </row>
    <row r="89" spans="1:5" x14ac:dyDescent="0.25">
      <c r="A89">
        <v>88</v>
      </c>
      <c r="B89" t="s">
        <v>53</v>
      </c>
      <c r="C89" t="str">
        <f ca="1"/>
        <v>7 - ♥</v>
      </c>
      <c r="D89" t="str">
        <f t="shared" ca="1" si="7"/>
        <v xml:space="preserve">7 </v>
      </c>
      <c r="E89" t="str">
        <f t="shared" ca="1" si="8"/>
        <v>♥</v>
      </c>
    </row>
    <row r="90" spans="1:5" x14ac:dyDescent="0.25">
      <c r="A90">
        <v>89</v>
      </c>
      <c r="B90" t="s">
        <v>54</v>
      </c>
      <c r="C90" t="str">
        <f ca="1"/>
        <v>12 - ♦</v>
      </c>
      <c r="D90" t="str">
        <f t="shared" ca="1" si="7"/>
        <v xml:space="preserve">12 </v>
      </c>
      <c r="E90" t="str">
        <f t="shared" ca="1" si="8"/>
        <v>♦</v>
      </c>
    </row>
    <row r="91" spans="1:5" x14ac:dyDescent="0.25">
      <c r="A91">
        <v>90</v>
      </c>
      <c r="B91" t="s">
        <v>55</v>
      </c>
      <c r="C91" t="str">
        <f ca="1"/>
        <v>2 - ♠</v>
      </c>
      <c r="D91" t="str">
        <f t="shared" ca="1" si="7"/>
        <v xml:space="preserve">2 </v>
      </c>
      <c r="E91" t="str">
        <f t="shared" ca="1" si="8"/>
        <v>♠</v>
      </c>
    </row>
    <row r="92" spans="1:5" x14ac:dyDescent="0.25">
      <c r="A92">
        <v>91</v>
      </c>
      <c r="B92" t="s">
        <v>56</v>
      </c>
      <c r="C92" t="str">
        <f ca="1"/>
        <v>9 - ♣</v>
      </c>
      <c r="D92" t="str">
        <f t="shared" ca="1" si="7"/>
        <v xml:space="preserve">9 </v>
      </c>
      <c r="E92" t="str">
        <f t="shared" ca="1" si="8"/>
        <v>♣</v>
      </c>
    </row>
    <row r="93" spans="1:5" x14ac:dyDescent="0.25">
      <c r="A93">
        <v>92</v>
      </c>
      <c r="B93" t="s">
        <v>57</v>
      </c>
      <c r="C93" t="str">
        <f ca="1"/>
        <v>5 - ♠</v>
      </c>
      <c r="D93" t="str">
        <f t="shared" ca="1" si="7"/>
        <v xml:space="preserve">5 </v>
      </c>
      <c r="E93" t="str">
        <f t="shared" ca="1" si="8"/>
        <v>♠</v>
      </c>
    </row>
    <row r="94" spans="1:5" x14ac:dyDescent="0.25">
      <c r="A94">
        <v>93</v>
      </c>
      <c r="B94" t="s">
        <v>58</v>
      </c>
      <c r="C94" t="str">
        <f ca="1"/>
        <v>8 - ♥</v>
      </c>
      <c r="D94" t="str">
        <f t="shared" ca="1" si="7"/>
        <v xml:space="preserve">8 </v>
      </c>
      <c r="E94" t="str">
        <f t="shared" ca="1" si="8"/>
        <v>♥</v>
      </c>
    </row>
    <row r="95" spans="1:5" x14ac:dyDescent="0.25">
      <c r="A95">
        <v>94</v>
      </c>
      <c r="B95" t="s">
        <v>59</v>
      </c>
      <c r="C95" t="str">
        <f ca="1"/>
        <v>11 - ♦</v>
      </c>
      <c r="D95" t="str">
        <f t="shared" ca="1" si="7"/>
        <v xml:space="preserve">11 </v>
      </c>
      <c r="E95" t="str">
        <f t="shared" ca="1" si="8"/>
        <v>♦</v>
      </c>
    </row>
    <row r="96" spans="1:5" x14ac:dyDescent="0.25">
      <c r="A96">
        <v>95</v>
      </c>
      <c r="B96" t="s">
        <v>60</v>
      </c>
      <c r="C96" t="str">
        <f ca="1"/>
        <v>5 - ♦</v>
      </c>
      <c r="D96" t="str">
        <f t="shared" ca="1" si="7"/>
        <v xml:space="preserve">5 </v>
      </c>
      <c r="E96" t="str">
        <f t="shared" ca="1" si="8"/>
        <v>♦</v>
      </c>
    </row>
    <row r="97" spans="1:5" x14ac:dyDescent="0.25">
      <c r="A97">
        <v>96</v>
      </c>
      <c r="B97" t="s">
        <v>61</v>
      </c>
      <c r="C97" t="str">
        <f ca="1"/>
        <v>9 - ♦</v>
      </c>
      <c r="D97" t="str">
        <f t="shared" ca="1" si="7"/>
        <v xml:space="preserve">9 </v>
      </c>
      <c r="E97" t="str">
        <f t="shared" ca="1" si="8"/>
        <v>♦</v>
      </c>
    </row>
    <row r="98" spans="1:5" x14ac:dyDescent="0.25">
      <c r="A98">
        <v>97</v>
      </c>
      <c r="B98" t="s">
        <v>62</v>
      </c>
      <c r="C98" t="str">
        <f ca="1"/>
        <v>6 - ♠</v>
      </c>
      <c r="D98" t="str">
        <f t="shared" ca="1" si="7"/>
        <v xml:space="preserve">6 </v>
      </c>
      <c r="E98" t="str">
        <f t="shared" ca="1" si="8"/>
        <v>♠</v>
      </c>
    </row>
    <row r="99" spans="1:5" x14ac:dyDescent="0.25">
      <c r="A99">
        <v>98</v>
      </c>
      <c r="B99" t="s">
        <v>63</v>
      </c>
      <c r="C99" t="str">
        <f ca="1"/>
        <v>8 - ♣</v>
      </c>
      <c r="D99" t="str">
        <f t="shared" ca="1" si="7"/>
        <v xml:space="preserve">8 </v>
      </c>
      <c r="E99" t="str">
        <f t="shared" ca="1" si="8"/>
        <v>♣</v>
      </c>
    </row>
    <row r="100" spans="1:5" x14ac:dyDescent="0.25">
      <c r="A100">
        <v>99</v>
      </c>
      <c r="B100" t="s">
        <v>64</v>
      </c>
      <c r="C100" t="str">
        <f ca="1"/>
        <v>10 - ♠</v>
      </c>
      <c r="D100" t="str">
        <f t="shared" ca="1" si="7"/>
        <v xml:space="preserve">10 </v>
      </c>
      <c r="E100" t="str">
        <f t="shared" ca="1" si="8"/>
        <v>♠</v>
      </c>
    </row>
    <row r="101" spans="1:5" x14ac:dyDescent="0.25">
      <c r="A101">
        <v>100</v>
      </c>
      <c r="B101" t="s">
        <v>65</v>
      </c>
      <c r="C101" t="str">
        <f ca="1"/>
        <v>11 - ♥</v>
      </c>
      <c r="D101" t="str">
        <f t="shared" ca="1" si="7"/>
        <v xml:space="preserve">11 </v>
      </c>
      <c r="E101" t="str">
        <f t="shared" ca="1" si="8"/>
        <v>♥</v>
      </c>
    </row>
    <row r="102" spans="1:5" x14ac:dyDescent="0.25">
      <c r="A102">
        <v>101</v>
      </c>
      <c r="B102" t="s">
        <v>66</v>
      </c>
      <c r="C102" t="str">
        <f ca="1"/>
        <v>6 - ♦</v>
      </c>
      <c r="D102" t="str">
        <f t="shared" ca="1" si="7"/>
        <v xml:space="preserve">6 </v>
      </c>
      <c r="E102" t="str">
        <f t="shared" ca="1" si="8"/>
        <v>♦</v>
      </c>
    </row>
    <row r="103" spans="1:5" x14ac:dyDescent="0.25">
      <c r="A103">
        <v>102</v>
      </c>
      <c r="B103" t="s">
        <v>67</v>
      </c>
      <c r="C103" t="str">
        <f ca="1"/>
        <v>2 - ♥</v>
      </c>
      <c r="D103" t="str">
        <f t="shared" ca="1" si="7"/>
        <v xml:space="preserve">2 </v>
      </c>
      <c r="E103" t="str">
        <f t="shared" ca="1" si="8"/>
        <v>♥</v>
      </c>
    </row>
    <row r="104" spans="1:5" x14ac:dyDescent="0.25">
      <c r="A104">
        <v>103</v>
      </c>
      <c r="B104" t="s">
        <v>68</v>
      </c>
      <c r="C104" t="str">
        <f ca="1"/>
        <v>4 - ♠</v>
      </c>
      <c r="D104" t="str">
        <f t="shared" ca="1" si="7"/>
        <v xml:space="preserve">4 </v>
      </c>
      <c r="E104" t="str">
        <f t="shared" ca="1" si="8"/>
        <v>♠</v>
      </c>
    </row>
    <row r="105" spans="1:5" x14ac:dyDescent="0.25">
      <c r="A105">
        <v>104</v>
      </c>
      <c r="B105" t="s">
        <v>69</v>
      </c>
      <c r="C105" t="str">
        <f ca="1"/>
        <v>1 - ♠</v>
      </c>
      <c r="D105" t="str">
        <f t="shared" ca="1" si="7"/>
        <v xml:space="preserve">1 </v>
      </c>
      <c r="E105" t="str">
        <f t="shared" ca="1" si="8"/>
        <v>♠</v>
      </c>
    </row>
  </sheetData>
  <dataConsolidate/>
  <mergeCells count="2">
    <mergeCell ref="AU1:AV1"/>
    <mergeCell ref="J24:W35"/>
  </mergeCells>
  <conditionalFormatting sqref="K2:X16 Z2:Z16 AC2:AC16">
    <cfRule type="containsText" dxfId="18" priority="5" operator="containsText" text="♦">
      <formula>NOT(ISERROR(SEARCH("♦",K2)))</formula>
    </cfRule>
    <cfRule type="containsText" dxfId="17" priority="6" operator="containsText" text="♥">
      <formula>NOT(ISERROR(SEARCH("♥",K2)))</formula>
    </cfRule>
  </conditionalFormatting>
  <conditionalFormatting sqref="AF2:AI14">
    <cfRule type="containsText" dxfId="16" priority="3" operator="containsText" text="♦">
      <formula>NOT(ISERROR(SEARCH("♦",AF2)))</formula>
    </cfRule>
    <cfRule type="containsText" dxfId="15" priority="4" operator="containsText" text="♥">
      <formula>NOT(ISERROR(SEARCH("♥",AF2)))</formula>
    </cfRule>
  </conditionalFormatting>
  <conditionalFormatting sqref="AL2:AO14 AQ4">
    <cfRule type="containsText" dxfId="14" priority="1" operator="containsText" text="♦">
      <formula>NOT(ISERROR(SEARCH("♦",AL2)))</formula>
    </cfRule>
    <cfRule type="containsText" dxfId="13" priority="2" operator="containsText" text="♥">
      <formula>NOT(ISERROR(SEARCH("♥",AL2)))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CC0F7-5EEF-4A5C-BC5A-28C8F51251D2}">
  <sheetPr codeName="Sheet4">
    <tabColor theme="1"/>
  </sheetPr>
  <dimension ref="A1:NB516"/>
  <sheetViews>
    <sheetView workbookViewId="0">
      <pane xSplit="1" ySplit="1" topLeftCell="B2" activePane="bottomRight" state="frozen"/>
      <selection activeCell="J38" sqref="J38"/>
      <selection pane="topRight" activeCell="J38" sqref="J38"/>
      <selection pane="bottomLeft" activeCell="J38" sqref="J38"/>
      <selection pane="bottomRight" activeCell="J38" sqref="J38"/>
    </sheetView>
  </sheetViews>
  <sheetFormatPr defaultRowHeight="15" x14ac:dyDescent="0.25"/>
  <cols>
    <col min="1" max="1" width="10.140625" style="56" bestFit="1" customWidth="1"/>
    <col min="2" max="2" width="3.5703125" style="14" bestFit="1" customWidth="1"/>
    <col min="3" max="10" width="3.5703125" bestFit="1" customWidth="1"/>
    <col min="11" max="16" width="4.5703125" bestFit="1" customWidth="1"/>
    <col min="17" max="17" width="3.5703125" style="14" bestFit="1" customWidth="1"/>
    <col min="18" max="25" width="3.5703125" bestFit="1" customWidth="1"/>
    <col min="26" max="31" width="4.5703125" bestFit="1" customWidth="1"/>
    <col min="32" max="32" width="3.5703125" style="14" bestFit="1" customWidth="1"/>
    <col min="33" max="40" width="3.5703125" bestFit="1" customWidth="1"/>
    <col min="41" max="46" width="4.5703125" bestFit="1" customWidth="1"/>
    <col min="47" max="47" width="3.5703125" style="14" bestFit="1" customWidth="1"/>
    <col min="48" max="55" width="3.5703125" bestFit="1" customWidth="1"/>
    <col min="56" max="61" width="4.5703125" bestFit="1" customWidth="1"/>
    <col min="62" max="62" width="3.5703125" style="14" bestFit="1" customWidth="1"/>
    <col min="63" max="70" width="3.5703125" bestFit="1" customWidth="1"/>
    <col min="71" max="76" width="4.5703125" bestFit="1" customWidth="1"/>
    <col min="77" max="77" width="3.5703125" style="14" bestFit="1" customWidth="1"/>
    <col min="78" max="85" width="3.5703125" bestFit="1" customWidth="1"/>
    <col min="86" max="91" width="4.5703125" bestFit="1" customWidth="1"/>
    <col min="92" max="92" width="3.5703125" style="14" bestFit="1" customWidth="1"/>
    <col min="93" max="100" width="3.5703125" bestFit="1" customWidth="1"/>
    <col min="101" max="106" width="4.5703125" bestFit="1" customWidth="1"/>
    <col min="107" max="107" width="3.5703125" style="14" bestFit="1" customWidth="1"/>
    <col min="108" max="115" width="3.5703125" bestFit="1" customWidth="1"/>
    <col min="116" max="121" width="4.5703125" bestFit="1" customWidth="1"/>
    <col min="122" max="122" width="3.5703125" style="14" bestFit="1" customWidth="1"/>
    <col min="123" max="130" width="3.5703125" bestFit="1" customWidth="1"/>
    <col min="131" max="136" width="4.5703125" bestFit="1" customWidth="1"/>
    <col min="137" max="137" width="4.5703125" style="14" bestFit="1" customWidth="1"/>
    <col min="138" max="145" width="4.5703125" bestFit="1" customWidth="1"/>
    <col min="146" max="151" width="5.5703125" bestFit="1" customWidth="1"/>
    <col min="152" max="152" width="4.5703125" style="14" bestFit="1" customWidth="1"/>
    <col min="153" max="160" width="4.5703125" bestFit="1" customWidth="1"/>
    <col min="161" max="166" width="5.5703125" bestFit="1" customWidth="1"/>
    <col min="167" max="167" width="4.5703125" style="14" bestFit="1" customWidth="1"/>
    <col min="168" max="175" width="4.5703125" bestFit="1" customWidth="1"/>
    <col min="176" max="181" width="5.5703125" bestFit="1" customWidth="1"/>
    <col min="182" max="182" width="4.5703125" style="14" bestFit="1" customWidth="1"/>
    <col min="183" max="190" width="4.5703125" bestFit="1" customWidth="1"/>
    <col min="191" max="196" width="5.5703125" bestFit="1" customWidth="1"/>
    <col min="197" max="197" width="4" style="14" bestFit="1" customWidth="1"/>
    <col min="198" max="205" width="2" bestFit="1" customWidth="1"/>
    <col min="206" max="246" width="3" bestFit="1" customWidth="1"/>
    <col min="247" max="247" width="2" style="14" bestFit="1" customWidth="1"/>
    <col min="248" max="256" width="2" bestFit="1" customWidth="1"/>
    <col min="257" max="262" width="3" bestFit="1" customWidth="1"/>
    <col min="263" max="263" width="7.7109375" style="14" bestFit="1" customWidth="1"/>
    <col min="264" max="271" width="7.7109375" bestFit="1" customWidth="1"/>
    <col min="272" max="275" width="8.7109375" bestFit="1" customWidth="1"/>
    <col min="276" max="276" width="8" style="14" bestFit="1" customWidth="1"/>
    <col min="277" max="284" width="8" bestFit="1" customWidth="1"/>
    <col min="285" max="288" width="9" bestFit="1" customWidth="1"/>
    <col min="289" max="289" width="7.85546875" style="14" bestFit="1" customWidth="1"/>
    <col min="290" max="297" width="7.85546875" bestFit="1" customWidth="1"/>
    <col min="298" max="301" width="8.85546875" bestFit="1" customWidth="1"/>
    <col min="302" max="302" width="8" style="14" bestFit="1" customWidth="1"/>
    <col min="303" max="310" width="8" bestFit="1" customWidth="1"/>
    <col min="311" max="314" width="9" bestFit="1" customWidth="1"/>
    <col min="315" max="315" width="7.7109375" style="14" bestFit="1" customWidth="1"/>
    <col min="316" max="323" width="7.7109375" bestFit="1" customWidth="1"/>
    <col min="324" max="327" width="8.7109375" bestFit="1" customWidth="1"/>
    <col min="328" max="328" width="8" style="14" bestFit="1" customWidth="1"/>
    <col min="329" max="336" width="8" bestFit="1" customWidth="1"/>
    <col min="337" max="340" width="9" bestFit="1" customWidth="1"/>
    <col min="341" max="341" width="7.85546875" style="14" bestFit="1" customWidth="1"/>
    <col min="342" max="349" width="7.85546875" bestFit="1" customWidth="1"/>
    <col min="350" max="353" width="8.85546875" bestFit="1" customWidth="1"/>
    <col min="354" max="354" width="8" style="14" bestFit="1" customWidth="1"/>
    <col min="355" max="362" width="8" bestFit="1" customWidth="1"/>
    <col min="363" max="366" width="9" bestFit="1" customWidth="1"/>
  </cols>
  <sheetData>
    <row r="1" spans="1:366" x14ac:dyDescent="0.25">
      <c r="A1" s="177" t="s">
        <v>479</v>
      </c>
      <c r="B1" s="168" t="s">
        <v>177</v>
      </c>
      <c r="C1" s="18" t="s">
        <v>190</v>
      </c>
      <c r="D1" s="18" t="s">
        <v>203</v>
      </c>
      <c r="E1" s="18" t="s">
        <v>216</v>
      </c>
      <c r="F1" s="18" t="s">
        <v>229</v>
      </c>
      <c r="G1" s="18" t="s">
        <v>242</v>
      </c>
      <c r="H1" s="18" t="s">
        <v>255</v>
      </c>
      <c r="I1" s="18" t="s">
        <v>268</v>
      </c>
      <c r="J1" s="18" t="s">
        <v>281</v>
      </c>
      <c r="K1" s="18" t="s">
        <v>294</v>
      </c>
      <c r="L1" s="18" t="s">
        <v>307</v>
      </c>
      <c r="M1" s="18" t="s">
        <v>320</v>
      </c>
      <c r="N1" s="18" t="s">
        <v>333</v>
      </c>
      <c r="O1" s="18" t="s">
        <v>346</v>
      </c>
      <c r="P1" s="18" t="s">
        <v>359</v>
      </c>
      <c r="Q1" s="168" t="s">
        <v>178</v>
      </c>
      <c r="R1" s="18" t="s">
        <v>191</v>
      </c>
      <c r="S1" s="18" t="s">
        <v>204</v>
      </c>
      <c r="T1" s="18" t="s">
        <v>217</v>
      </c>
      <c r="U1" s="18" t="s">
        <v>230</v>
      </c>
      <c r="V1" s="18" t="s">
        <v>243</v>
      </c>
      <c r="W1" s="18" t="s">
        <v>256</v>
      </c>
      <c r="X1" s="18" t="s">
        <v>269</v>
      </c>
      <c r="Y1" s="18" t="s">
        <v>282</v>
      </c>
      <c r="Z1" s="18" t="s">
        <v>295</v>
      </c>
      <c r="AA1" s="18" t="s">
        <v>308</v>
      </c>
      <c r="AB1" s="18" t="s">
        <v>321</v>
      </c>
      <c r="AC1" s="18" t="s">
        <v>334</v>
      </c>
      <c r="AD1" s="18" t="s">
        <v>347</v>
      </c>
      <c r="AE1" s="18" t="s">
        <v>360</v>
      </c>
      <c r="AF1" s="168" t="s">
        <v>179</v>
      </c>
      <c r="AG1" s="18" t="s">
        <v>192</v>
      </c>
      <c r="AH1" s="18" t="s">
        <v>205</v>
      </c>
      <c r="AI1" s="18" t="s">
        <v>218</v>
      </c>
      <c r="AJ1" s="18" t="s">
        <v>231</v>
      </c>
      <c r="AK1" s="18" t="s">
        <v>244</v>
      </c>
      <c r="AL1" s="18" t="s">
        <v>257</v>
      </c>
      <c r="AM1" s="18" t="s">
        <v>270</v>
      </c>
      <c r="AN1" s="18" t="s">
        <v>283</v>
      </c>
      <c r="AO1" s="18" t="s">
        <v>296</v>
      </c>
      <c r="AP1" s="18" t="s">
        <v>309</v>
      </c>
      <c r="AQ1" s="18" t="s">
        <v>322</v>
      </c>
      <c r="AR1" s="18" t="s">
        <v>335</v>
      </c>
      <c r="AS1" s="18" t="s">
        <v>348</v>
      </c>
      <c r="AT1" s="18" t="s">
        <v>361</v>
      </c>
      <c r="AU1" s="168" t="s">
        <v>180</v>
      </c>
      <c r="AV1" s="18" t="s">
        <v>193</v>
      </c>
      <c r="AW1" s="18" t="s">
        <v>206</v>
      </c>
      <c r="AX1" s="18" t="s">
        <v>219</v>
      </c>
      <c r="AY1" s="18" t="s">
        <v>232</v>
      </c>
      <c r="AZ1" s="18" t="s">
        <v>245</v>
      </c>
      <c r="BA1" s="18" t="s">
        <v>258</v>
      </c>
      <c r="BB1" s="18" t="s">
        <v>271</v>
      </c>
      <c r="BC1" s="18" t="s">
        <v>284</v>
      </c>
      <c r="BD1" s="18" t="s">
        <v>297</v>
      </c>
      <c r="BE1" s="18" t="s">
        <v>310</v>
      </c>
      <c r="BF1" s="18" t="s">
        <v>323</v>
      </c>
      <c r="BG1" s="18" t="s">
        <v>336</v>
      </c>
      <c r="BH1" s="18" t="s">
        <v>349</v>
      </c>
      <c r="BI1" s="18" t="s">
        <v>362</v>
      </c>
      <c r="BJ1" s="168" t="s">
        <v>181</v>
      </c>
      <c r="BK1" s="18" t="s">
        <v>194</v>
      </c>
      <c r="BL1" s="18" t="s">
        <v>207</v>
      </c>
      <c r="BM1" s="18" t="s">
        <v>220</v>
      </c>
      <c r="BN1" s="18" t="s">
        <v>233</v>
      </c>
      <c r="BO1" s="18" t="s">
        <v>246</v>
      </c>
      <c r="BP1" s="18" t="s">
        <v>259</v>
      </c>
      <c r="BQ1" s="18" t="s">
        <v>272</v>
      </c>
      <c r="BR1" s="18" t="s">
        <v>285</v>
      </c>
      <c r="BS1" s="18" t="s">
        <v>298</v>
      </c>
      <c r="BT1" s="18" t="s">
        <v>311</v>
      </c>
      <c r="BU1" s="18" t="s">
        <v>324</v>
      </c>
      <c r="BV1" s="18" t="s">
        <v>337</v>
      </c>
      <c r="BW1" s="18" t="s">
        <v>350</v>
      </c>
      <c r="BX1" s="18" t="s">
        <v>363</v>
      </c>
      <c r="BY1" s="168" t="s">
        <v>182</v>
      </c>
      <c r="BZ1" s="18" t="s">
        <v>195</v>
      </c>
      <c r="CA1" s="18" t="s">
        <v>208</v>
      </c>
      <c r="CB1" s="18" t="s">
        <v>221</v>
      </c>
      <c r="CC1" s="18" t="s">
        <v>234</v>
      </c>
      <c r="CD1" s="18" t="s">
        <v>247</v>
      </c>
      <c r="CE1" s="18" t="s">
        <v>260</v>
      </c>
      <c r="CF1" s="18" t="s">
        <v>273</v>
      </c>
      <c r="CG1" s="18" t="s">
        <v>286</v>
      </c>
      <c r="CH1" s="18" t="s">
        <v>299</v>
      </c>
      <c r="CI1" s="18" t="s">
        <v>312</v>
      </c>
      <c r="CJ1" s="18" t="s">
        <v>325</v>
      </c>
      <c r="CK1" s="18" t="s">
        <v>338</v>
      </c>
      <c r="CL1" s="18" t="s">
        <v>351</v>
      </c>
      <c r="CM1" s="18" t="s">
        <v>364</v>
      </c>
      <c r="CN1" s="168" t="s">
        <v>183</v>
      </c>
      <c r="CO1" s="18" t="s">
        <v>196</v>
      </c>
      <c r="CP1" s="18" t="s">
        <v>209</v>
      </c>
      <c r="CQ1" s="18" t="s">
        <v>222</v>
      </c>
      <c r="CR1" s="18" t="s">
        <v>235</v>
      </c>
      <c r="CS1" s="18" t="s">
        <v>248</v>
      </c>
      <c r="CT1" s="18" t="s">
        <v>261</v>
      </c>
      <c r="CU1" s="18" t="s">
        <v>274</v>
      </c>
      <c r="CV1" s="18" t="s">
        <v>287</v>
      </c>
      <c r="CW1" s="18" t="s">
        <v>300</v>
      </c>
      <c r="CX1" s="18" t="s">
        <v>313</v>
      </c>
      <c r="CY1" s="18" t="s">
        <v>326</v>
      </c>
      <c r="CZ1" s="18" t="s">
        <v>339</v>
      </c>
      <c r="DA1" s="18" t="s">
        <v>352</v>
      </c>
      <c r="DB1" s="18" t="s">
        <v>365</v>
      </c>
      <c r="DC1" s="168" t="s">
        <v>184</v>
      </c>
      <c r="DD1" s="18" t="s">
        <v>197</v>
      </c>
      <c r="DE1" s="18" t="s">
        <v>210</v>
      </c>
      <c r="DF1" s="18" t="s">
        <v>223</v>
      </c>
      <c r="DG1" s="18" t="s">
        <v>236</v>
      </c>
      <c r="DH1" s="18" t="s">
        <v>249</v>
      </c>
      <c r="DI1" s="18" t="s">
        <v>262</v>
      </c>
      <c r="DJ1" s="18" t="s">
        <v>275</v>
      </c>
      <c r="DK1" s="18" t="s">
        <v>288</v>
      </c>
      <c r="DL1" s="18" t="s">
        <v>301</v>
      </c>
      <c r="DM1" s="18" t="s">
        <v>314</v>
      </c>
      <c r="DN1" s="18" t="s">
        <v>327</v>
      </c>
      <c r="DO1" s="18" t="s">
        <v>340</v>
      </c>
      <c r="DP1" s="18" t="s">
        <v>353</v>
      </c>
      <c r="DQ1" s="18" t="s">
        <v>366</v>
      </c>
      <c r="DR1" s="168" t="s">
        <v>185</v>
      </c>
      <c r="DS1" s="18" t="s">
        <v>198</v>
      </c>
      <c r="DT1" s="18" t="s">
        <v>211</v>
      </c>
      <c r="DU1" s="18" t="s">
        <v>224</v>
      </c>
      <c r="DV1" s="18" t="s">
        <v>237</v>
      </c>
      <c r="DW1" s="18" t="s">
        <v>250</v>
      </c>
      <c r="DX1" s="18" t="s">
        <v>263</v>
      </c>
      <c r="DY1" s="18" t="s">
        <v>276</v>
      </c>
      <c r="DZ1" s="18" t="s">
        <v>289</v>
      </c>
      <c r="EA1" s="18" t="s">
        <v>302</v>
      </c>
      <c r="EB1" s="18" t="s">
        <v>315</v>
      </c>
      <c r="EC1" s="18" t="s">
        <v>328</v>
      </c>
      <c r="ED1" s="18" t="s">
        <v>341</v>
      </c>
      <c r="EE1" s="18" t="s">
        <v>354</v>
      </c>
      <c r="EF1" s="18" t="s">
        <v>367</v>
      </c>
      <c r="EG1" s="168" t="s">
        <v>186</v>
      </c>
      <c r="EH1" s="18" t="s">
        <v>199</v>
      </c>
      <c r="EI1" s="18" t="s">
        <v>212</v>
      </c>
      <c r="EJ1" s="18" t="s">
        <v>225</v>
      </c>
      <c r="EK1" s="18" t="s">
        <v>238</v>
      </c>
      <c r="EL1" s="18" t="s">
        <v>251</v>
      </c>
      <c r="EM1" s="18" t="s">
        <v>264</v>
      </c>
      <c r="EN1" s="18" t="s">
        <v>277</v>
      </c>
      <c r="EO1" s="18" t="s">
        <v>290</v>
      </c>
      <c r="EP1" s="18" t="s">
        <v>303</v>
      </c>
      <c r="EQ1" s="18" t="s">
        <v>316</v>
      </c>
      <c r="ER1" s="18" t="s">
        <v>329</v>
      </c>
      <c r="ES1" s="18" t="s">
        <v>342</v>
      </c>
      <c r="ET1" s="18" t="s">
        <v>355</v>
      </c>
      <c r="EU1" s="18" t="s">
        <v>368</v>
      </c>
      <c r="EV1" s="168" t="s">
        <v>187</v>
      </c>
      <c r="EW1" s="18" t="s">
        <v>200</v>
      </c>
      <c r="EX1" s="18" t="s">
        <v>213</v>
      </c>
      <c r="EY1" s="18" t="s">
        <v>226</v>
      </c>
      <c r="EZ1" s="18" t="s">
        <v>239</v>
      </c>
      <c r="FA1" s="18" t="s">
        <v>252</v>
      </c>
      <c r="FB1" s="18" t="s">
        <v>265</v>
      </c>
      <c r="FC1" s="18" t="s">
        <v>278</v>
      </c>
      <c r="FD1" s="18" t="s">
        <v>291</v>
      </c>
      <c r="FE1" s="18" t="s">
        <v>304</v>
      </c>
      <c r="FF1" s="18" t="s">
        <v>317</v>
      </c>
      <c r="FG1" s="18" t="s">
        <v>330</v>
      </c>
      <c r="FH1" s="18" t="s">
        <v>343</v>
      </c>
      <c r="FI1" s="18" t="s">
        <v>356</v>
      </c>
      <c r="FJ1" s="18" t="s">
        <v>369</v>
      </c>
      <c r="FK1" s="168" t="s">
        <v>188</v>
      </c>
      <c r="FL1" s="18" t="s">
        <v>201</v>
      </c>
      <c r="FM1" s="18" t="s">
        <v>214</v>
      </c>
      <c r="FN1" s="18" t="s">
        <v>227</v>
      </c>
      <c r="FO1" s="18" t="s">
        <v>240</v>
      </c>
      <c r="FP1" s="18" t="s">
        <v>253</v>
      </c>
      <c r="FQ1" s="18" t="s">
        <v>266</v>
      </c>
      <c r="FR1" s="18" t="s">
        <v>279</v>
      </c>
      <c r="FS1" s="18" t="s">
        <v>292</v>
      </c>
      <c r="FT1" s="18" t="s">
        <v>305</v>
      </c>
      <c r="FU1" s="18" t="s">
        <v>318</v>
      </c>
      <c r="FV1" s="18" t="s">
        <v>331</v>
      </c>
      <c r="FW1" s="18" t="s">
        <v>344</v>
      </c>
      <c r="FX1" s="18" t="s">
        <v>357</v>
      </c>
      <c r="FY1" s="18" t="s">
        <v>370</v>
      </c>
      <c r="FZ1" s="168" t="s">
        <v>189</v>
      </c>
      <c r="GA1" s="18" t="s">
        <v>202</v>
      </c>
      <c r="GB1" s="18" t="s">
        <v>215</v>
      </c>
      <c r="GC1" s="18" t="s">
        <v>228</v>
      </c>
      <c r="GD1" s="18" t="s">
        <v>241</v>
      </c>
      <c r="GE1" s="18" t="s">
        <v>254</v>
      </c>
      <c r="GF1" s="18" t="s">
        <v>267</v>
      </c>
      <c r="GG1" s="18" t="s">
        <v>280</v>
      </c>
      <c r="GH1" s="18" t="s">
        <v>293</v>
      </c>
      <c r="GI1" s="18" t="s">
        <v>306</v>
      </c>
      <c r="GJ1" s="18" t="s">
        <v>319</v>
      </c>
      <c r="GK1" s="18" t="s">
        <v>332</v>
      </c>
      <c r="GL1" s="18" t="s">
        <v>345</v>
      </c>
      <c r="GM1" s="18" t="s">
        <v>358</v>
      </c>
      <c r="GN1" s="18" t="s">
        <v>371</v>
      </c>
      <c r="GO1" s="171">
        <v>1</v>
      </c>
      <c r="GP1" s="172">
        <v>2</v>
      </c>
      <c r="GQ1" s="172">
        <v>3</v>
      </c>
      <c r="GR1" s="172">
        <v>4</v>
      </c>
      <c r="GS1" s="172">
        <v>5</v>
      </c>
      <c r="GT1" s="172">
        <v>6</v>
      </c>
      <c r="GU1" s="172">
        <v>7</v>
      </c>
      <c r="GV1" s="172">
        <v>8</v>
      </c>
      <c r="GW1" s="172">
        <v>9</v>
      </c>
      <c r="GX1" s="172">
        <v>10</v>
      </c>
      <c r="GY1" s="172">
        <v>11</v>
      </c>
      <c r="GZ1" s="172">
        <v>12</v>
      </c>
      <c r="HA1" s="172">
        <v>13</v>
      </c>
      <c r="HB1" s="172">
        <v>14</v>
      </c>
      <c r="HC1" s="172">
        <v>15</v>
      </c>
      <c r="HD1" s="172">
        <v>16</v>
      </c>
      <c r="HE1" s="172">
        <v>17</v>
      </c>
      <c r="HF1" s="172">
        <v>18</v>
      </c>
      <c r="HG1" s="172">
        <v>19</v>
      </c>
      <c r="HH1" s="172">
        <v>20</v>
      </c>
      <c r="HI1" s="172">
        <v>21</v>
      </c>
      <c r="HJ1" s="172">
        <v>22</v>
      </c>
      <c r="HK1" s="172">
        <v>23</v>
      </c>
      <c r="HL1" s="172">
        <v>24</v>
      </c>
      <c r="HM1" s="172">
        <v>25</v>
      </c>
      <c r="HN1" s="172">
        <v>26</v>
      </c>
      <c r="HO1" s="172">
        <v>27</v>
      </c>
      <c r="HP1" s="172">
        <v>28</v>
      </c>
      <c r="HQ1" s="172">
        <v>29</v>
      </c>
      <c r="HR1" s="172">
        <v>30</v>
      </c>
      <c r="HS1" s="172">
        <v>31</v>
      </c>
      <c r="HT1" s="172">
        <v>32</v>
      </c>
      <c r="HU1" s="172">
        <v>33</v>
      </c>
      <c r="HV1" s="172">
        <v>34</v>
      </c>
      <c r="HW1" s="172">
        <v>35</v>
      </c>
      <c r="HX1" s="172">
        <v>36</v>
      </c>
      <c r="HY1" s="172">
        <v>37</v>
      </c>
      <c r="HZ1" s="172">
        <v>38</v>
      </c>
      <c r="IA1" s="172">
        <v>39</v>
      </c>
      <c r="IB1" s="172">
        <v>40</v>
      </c>
      <c r="IC1" s="172">
        <v>41</v>
      </c>
      <c r="ID1" s="172">
        <v>42</v>
      </c>
      <c r="IE1" s="172">
        <v>43</v>
      </c>
      <c r="IF1" s="172">
        <v>44</v>
      </c>
      <c r="IG1" s="172">
        <v>45</v>
      </c>
      <c r="IH1" s="172">
        <v>46</v>
      </c>
      <c r="II1" s="172">
        <v>47</v>
      </c>
      <c r="IJ1" s="172">
        <v>48</v>
      </c>
      <c r="IK1" s="172">
        <v>49</v>
      </c>
      <c r="IL1" s="172">
        <v>50</v>
      </c>
      <c r="IM1" s="173">
        <v>0</v>
      </c>
      <c r="IN1" s="174">
        <v>1</v>
      </c>
      <c r="IO1" s="174">
        <v>2</v>
      </c>
      <c r="IP1" s="174">
        <v>3</v>
      </c>
      <c r="IQ1" s="174">
        <v>4</v>
      </c>
      <c r="IR1" s="174">
        <v>5</v>
      </c>
      <c r="IS1" s="174">
        <v>6</v>
      </c>
      <c r="IT1" s="174">
        <v>7</v>
      </c>
      <c r="IU1" s="174">
        <v>8</v>
      </c>
      <c r="IV1" s="174">
        <v>9</v>
      </c>
      <c r="IW1" s="174">
        <v>10</v>
      </c>
      <c r="IX1" s="174">
        <v>11</v>
      </c>
      <c r="IY1" s="174">
        <v>12</v>
      </c>
      <c r="IZ1" s="174">
        <v>13</v>
      </c>
      <c r="JA1" s="174">
        <v>14</v>
      </c>
      <c r="JB1" s="174">
        <v>15</v>
      </c>
      <c r="JC1" s="175" t="s">
        <v>372</v>
      </c>
      <c r="JD1" s="176" t="s">
        <v>373</v>
      </c>
      <c r="JE1" s="176" t="s">
        <v>374</v>
      </c>
      <c r="JF1" s="176" t="s">
        <v>375</v>
      </c>
      <c r="JG1" s="176" t="s">
        <v>376</v>
      </c>
      <c r="JH1" s="176" t="s">
        <v>377</v>
      </c>
      <c r="JI1" s="176" t="s">
        <v>378</v>
      </c>
      <c r="JJ1" s="176" t="s">
        <v>379</v>
      </c>
      <c r="JK1" s="176" t="s">
        <v>380</v>
      </c>
      <c r="JL1" s="176" t="s">
        <v>381</v>
      </c>
      <c r="JM1" s="176" t="s">
        <v>382</v>
      </c>
      <c r="JN1" s="176" t="s">
        <v>383</v>
      </c>
      <c r="JO1" s="176" t="s">
        <v>384</v>
      </c>
      <c r="JP1" s="175" t="s">
        <v>385</v>
      </c>
      <c r="JQ1" s="176" t="s">
        <v>386</v>
      </c>
      <c r="JR1" s="176" t="s">
        <v>387</v>
      </c>
      <c r="JS1" s="176" t="s">
        <v>388</v>
      </c>
      <c r="JT1" s="176" t="s">
        <v>389</v>
      </c>
      <c r="JU1" s="176" t="s">
        <v>390</v>
      </c>
      <c r="JV1" s="176" t="s">
        <v>391</v>
      </c>
      <c r="JW1" s="176" t="s">
        <v>392</v>
      </c>
      <c r="JX1" s="176" t="s">
        <v>393</v>
      </c>
      <c r="JY1" s="176" t="s">
        <v>394</v>
      </c>
      <c r="JZ1" s="176" t="s">
        <v>395</v>
      </c>
      <c r="KA1" s="176" t="s">
        <v>396</v>
      </c>
      <c r="KB1" s="176" t="s">
        <v>397</v>
      </c>
      <c r="KC1" s="175" t="s">
        <v>398</v>
      </c>
      <c r="KD1" s="176" t="s">
        <v>399</v>
      </c>
      <c r="KE1" s="176" t="s">
        <v>400</v>
      </c>
      <c r="KF1" s="176" t="s">
        <v>401</v>
      </c>
      <c r="KG1" s="176" t="s">
        <v>402</v>
      </c>
      <c r="KH1" s="176" t="s">
        <v>403</v>
      </c>
      <c r="KI1" s="176" t="s">
        <v>404</v>
      </c>
      <c r="KJ1" s="176" t="s">
        <v>405</v>
      </c>
      <c r="KK1" s="176" t="s">
        <v>406</v>
      </c>
      <c r="KL1" s="176" t="s">
        <v>407</v>
      </c>
      <c r="KM1" s="176" t="s">
        <v>408</v>
      </c>
      <c r="KN1" s="176" t="s">
        <v>409</v>
      </c>
      <c r="KO1" s="176" t="s">
        <v>410</v>
      </c>
      <c r="KP1" s="175" t="s">
        <v>413</v>
      </c>
      <c r="KQ1" s="176" t="s">
        <v>414</v>
      </c>
      <c r="KR1" s="176" t="s">
        <v>415</v>
      </c>
      <c r="KS1" s="176" t="s">
        <v>416</v>
      </c>
      <c r="KT1" s="176" t="s">
        <v>417</v>
      </c>
      <c r="KU1" s="176" t="s">
        <v>418</v>
      </c>
      <c r="KV1" s="176" t="s">
        <v>419</v>
      </c>
      <c r="KW1" s="176" t="s">
        <v>420</v>
      </c>
      <c r="KX1" s="176" t="s">
        <v>421</v>
      </c>
      <c r="KY1" s="176" t="s">
        <v>422</v>
      </c>
      <c r="KZ1" s="176" t="s">
        <v>423</v>
      </c>
      <c r="LA1" s="176" t="s">
        <v>424</v>
      </c>
      <c r="LB1" s="176" t="s">
        <v>425</v>
      </c>
      <c r="LC1" s="175" t="s">
        <v>426</v>
      </c>
      <c r="LD1" s="176" t="s">
        <v>427</v>
      </c>
      <c r="LE1" s="176" t="s">
        <v>428</v>
      </c>
      <c r="LF1" s="176" t="s">
        <v>429</v>
      </c>
      <c r="LG1" s="176" t="s">
        <v>430</v>
      </c>
      <c r="LH1" s="176" t="s">
        <v>431</v>
      </c>
      <c r="LI1" s="176" t="s">
        <v>432</v>
      </c>
      <c r="LJ1" s="176" t="s">
        <v>433</v>
      </c>
      <c r="LK1" s="176" t="s">
        <v>434</v>
      </c>
      <c r="LL1" s="176" t="s">
        <v>435</v>
      </c>
      <c r="LM1" s="176" t="s">
        <v>436</v>
      </c>
      <c r="LN1" s="176" t="s">
        <v>437</v>
      </c>
      <c r="LO1" s="176" t="s">
        <v>438</v>
      </c>
      <c r="LP1" s="175" t="s">
        <v>439</v>
      </c>
      <c r="LQ1" s="176" t="s">
        <v>440</v>
      </c>
      <c r="LR1" s="176" t="s">
        <v>441</v>
      </c>
      <c r="LS1" s="176" t="s">
        <v>442</v>
      </c>
      <c r="LT1" s="176" t="s">
        <v>443</v>
      </c>
      <c r="LU1" s="176" t="s">
        <v>444</v>
      </c>
      <c r="LV1" s="176" t="s">
        <v>445</v>
      </c>
      <c r="LW1" s="176" t="s">
        <v>446</v>
      </c>
      <c r="LX1" s="176" t="s">
        <v>447</v>
      </c>
      <c r="LY1" s="176" t="s">
        <v>448</v>
      </c>
      <c r="LZ1" s="176" t="s">
        <v>449</v>
      </c>
      <c r="MA1" s="176" t="s">
        <v>450</v>
      </c>
      <c r="MB1" s="176" t="s">
        <v>451</v>
      </c>
      <c r="MC1" s="175" t="s">
        <v>452</v>
      </c>
      <c r="MD1" s="176" t="s">
        <v>453</v>
      </c>
      <c r="ME1" s="176" t="s">
        <v>454</v>
      </c>
      <c r="MF1" s="176" t="s">
        <v>455</v>
      </c>
      <c r="MG1" s="176" t="s">
        <v>456</v>
      </c>
      <c r="MH1" s="176" t="s">
        <v>457</v>
      </c>
      <c r="MI1" s="176" t="s">
        <v>458</v>
      </c>
      <c r="MJ1" s="176" t="s">
        <v>459</v>
      </c>
      <c r="MK1" s="176" t="s">
        <v>460</v>
      </c>
      <c r="ML1" s="176" t="s">
        <v>461</v>
      </c>
      <c r="MM1" s="176" t="s">
        <v>462</v>
      </c>
      <c r="MN1" s="176" t="s">
        <v>463</v>
      </c>
      <c r="MO1" s="176" t="s">
        <v>464</v>
      </c>
      <c r="MP1" s="175" t="s">
        <v>465</v>
      </c>
      <c r="MQ1" s="176" t="s">
        <v>466</v>
      </c>
      <c r="MR1" s="176" t="s">
        <v>467</v>
      </c>
      <c r="MS1" s="176" t="s">
        <v>468</v>
      </c>
      <c r="MT1" s="176" t="s">
        <v>469</v>
      </c>
      <c r="MU1" s="176" t="s">
        <v>470</v>
      </c>
      <c r="MV1" s="176" t="s">
        <v>471</v>
      </c>
      <c r="MW1" s="176" t="s">
        <v>472</v>
      </c>
      <c r="MX1" s="176" t="s">
        <v>473</v>
      </c>
      <c r="MY1" s="176" t="s">
        <v>474</v>
      </c>
      <c r="MZ1" s="176" t="s">
        <v>475</v>
      </c>
      <c r="NA1" s="176" t="s">
        <v>476</v>
      </c>
      <c r="NB1" s="176" t="s">
        <v>477</v>
      </c>
    </row>
    <row r="2" spans="1:366" x14ac:dyDescent="0.25">
      <c r="A2" s="56">
        <v>0</v>
      </c>
      <c r="B2" s="14" t="s">
        <v>61</v>
      </c>
      <c r="C2" t="s">
        <v>22</v>
      </c>
      <c r="D2" t="s">
        <v>47</v>
      </c>
      <c r="E2" t="s">
        <v>28</v>
      </c>
      <c r="F2" t="s">
        <v>40</v>
      </c>
      <c r="G2" t="s">
        <v>51</v>
      </c>
      <c r="H2" t="s">
        <v>52</v>
      </c>
      <c r="Q2" s="14" t="s">
        <v>27</v>
      </c>
      <c r="R2" t="s">
        <v>47</v>
      </c>
      <c r="S2" t="s">
        <v>62</v>
      </c>
      <c r="T2" t="s">
        <v>65</v>
      </c>
      <c r="U2" t="s">
        <v>57</v>
      </c>
      <c r="V2" t="s">
        <v>64</v>
      </c>
      <c r="W2" t="s">
        <v>29</v>
      </c>
      <c r="AF2" s="14" t="s">
        <v>50</v>
      </c>
      <c r="AG2" t="s">
        <v>22</v>
      </c>
      <c r="AH2" t="s">
        <v>41</v>
      </c>
      <c r="AI2" t="s">
        <v>57</v>
      </c>
      <c r="AJ2" t="s">
        <v>43</v>
      </c>
      <c r="AK2" t="s">
        <v>20</v>
      </c>
      <c r="AL2" t="s">
        <v>21</v>
      </c>
      <c r="AU2" s="14" t="s">
        <v>44</v>
      </c>
      <c r="AV2" t="s">
        <v>64</v>
      </c>
      <c r="AW2" t="s">
        <v>24</v>
      </c>
      <c r="AX2" t="s">
        <v>46</v>
      </c>
      <c r="AY2" t="s">
        <v>63</v>
      </c>
      <c r="AZ2" t="s">
        <v>26</v>
      </c>
      <c r="BJ2" s="14" t="s">
        <v>56</v>
      </c>
      <c r="BK2" t="s">
        <v>54</v>
      </c>
      <c r="BL2" t="s">
        <v>55</v>
      </c>
      <c r="BM2" t="s">
        <v>42</v>
      </c>
      <c r="BN2" t="s">
        <v>23</v>
      </c>
      <c r="BO2" t="s">
        <v>31</v>
      </c>
      <c r="BY2" s="14" t="s">
        <v>69</v>
      </c>
      <c r="BZ2" t="s">
        <v>63</v>
      </c>
      <c r="CA2" t="s">
        <v>38</v>
      </c>
      <c r="CB2" t="s">
        <v>46</v>
      </c>
      <c r="CC2" t="s">
        <v>19</v>
      </c>
      <c r="CD2" t="s">
        <v>56</v>
      </c>
      <c r="CN2" s="14" t="s">
        <v>27</v>
      </c>
      <c r="CO2" t="s">
        <v>31</v>
      </c>
      <c r="CP2" t="s">
        <v>49</v>
      </c>
      <c r="CQ2" t="s">
        <v>52</v>
      </c>
      <c r="CR2" t="s">
        <v>40</v>
      </c>
      <c r="CS2" t="s">
        <v>58</v>
      </c>
      <c r="DC2" s="14" t="s">
        <v>42</v>
      </c>
      <c r="DD2" t="s">
        <v>25</v>
      </c>
      <c r="DE2" t="s">
        <v>68</v>
      </c>
      <c r="DF2" t="s">
        <v>67</v>
      </c>
      <c r="DG2" t="s">
        <v>34</v>
      </c>
      <c r="DH2" t="s">
        <v>23</v>
      </c>
      <c r="DR2" s="14" t="s">
        <v>65</v>
      </c>
      <c r="DS2" t="s">
        <v>18</v>
      </c>
      <c r="DT2" t="s">
        <v>39</v>
      </c>
      <c r="DU2" t="s">
        <v>45</v>
      </c>
      <c r="DV2" t="s">
        <v>35</v>
      </c>
      <c r="DW2" t="s">
        <v>60</v>
      </c>
      <c r="EG2" s="14" t="s">
        <v>37</v>
      </c>
      <c r="EH2" t="s">
        <v>59</v>
      </c>
      <c r="EI2" t="s">
        <v>33</v>
      </c>
      <c r="EJ2" t="s">
        <v>30</v>
      </c>
      <c r="EK2" t="s">
        <v>28</v>
      </c>
      <c r="EL2" t="s">
        <v>51</v>
      </c>
      <c r="EV2" s="14" t="s">
        <v>26</v>
      </c>
      <c r="EW2" t="s">
        <v>35</v>
      </c>
      <c r="EX2" t="s">
        <v>18</v>
      </c>
      <c r="EY2" t="s">
        <v>49</v>
      </c>
      <c r="EZ2" t="s">
        <v>69</v>
      </c>
      <c r="FA2" t="s">
        <v>55</v>
      </c>
      <c r="FK2" s="14" t="s">
        <v>32</v>
      </c>
      <c r="FL2" t="s">
        <v>66</v>
      </c>
      <c r="FM2" t="s">
        <v>41</v>
      </c>
      <c r="FN2" t="s">
        <v>39</v>
      </c>
      <c r="FO2" t="s">
        <v>25</v>
      </c>
      <c r="FP2" t="s">
        <v>21</v>
      </c>
      <c r="FZ2" s="14" t="s">
        <v>43</v>
      </c>
      <c r="GA2" t="s">
        <v>45</v>
      </c>
      <c r="GB2" t="s">
        <v>29</v>
      </c>
      <c r="GC2" t="s">
        <v>48</v>
      </c>
      <c r="GD2" t="s">
        <v>36</v>
      </c>
      <c r="GE2" t="s">
        <v>61</v>
      </c>
      <c r="GO2" s="14" t="s">
        <v>58</v>
      </c>
      <c r="GP2" t="s">
        <v>20</v>
      </c>
      <c r="GQ2" t="s">
        <v>24</v>
      </c>
      <c r="GR2" t="s">
        <v>38</v>
      </c>
      <c r="GS2" t="s">
        <v>53</v>
      </c>
      <c r="GT2" t="s">
        <v>54</v>
      </c>
      <c r="GU2" t="s">
        <v>36</v>
      </c>
      <c r="GV2" t="s">
        <v>60</v>
      </c>
      <c r="GW2" t="s">
        <v>32</v>
      </c>
      <c r="GX2" t="s">
        <v>50</v>
      </c>
      <c r="GY2" t="s">
        <v>19</v>
      </c>
      <c r="GZ2" t="s">
        <v>68</v>
      </c>
      <c r="HA2" t="s">
        <v>53</v>
      </c>
      <c r="HB2" t="s">
        <v>44</v>
      </c>
      <c r="HC2" t="s">
        <v>66</v>
      </c>
      <c r="HD2" t="s">
        <v>30</v>
      </c>
      <c r="HE2" t="s">
        <v>62</v>
      </c>
      <c r="HF2" t="s">
        <v>59</v>
      </c>
      <c r="HG2" t="s">
        <v>34</v>
      </c>
      <c r="HH2" t="s">
        <v>33</v>
      </c>
      <c r="HI2" t="s">
        <v>48</v>
      </c>
      <c r="HJ2" t="s">
        <v>37</v>
      </c>
      <c r="HK2" t="s">
        <v>67</v>
      </c>
    </row>
    <row r="3" spans="1:366" x14ac:dyDescent="0.25">
      <c r="A3" s="56">
        <v>1</v>
      </c>
    </row>
    <row r="4" spans="1:366" x14ac:dyDescent="0.25">
      <c r="A4" s="56">
        <v>2</v>
      </c>
    </row>
    <row r="5" spans="1:366" x14ac:dyDescent="0.25">
      <c r="A5" s="56">
        <v>3</v>
      </c>
    </row>
    <row r="6" spans="1:366" x14ac:dyDescent="0.25">
      <c r="A6" s="56">
        <v>4</v>
      </c>
    </row>
    <row r="7" spans="1:366" x14ac:dyDescent="0.25">
      <c r="A7" s="56">
        <v>5</v>
      </c>
    </row>
    <row r="8" spans="1:366" x14ac:dyDescent="0.25">
      <c r="A8" s="56">
        <v>6</v>
      </c>
    </row>
    <row r="9" spans="1:366" x14ac:dyDescent="0.25">
      <c r="A9" s="56">
        <v>7</v>
      </c>
    </row>
    <row r="10" spans="1:366" x14ac:dyDescent="0.25">
      <c r="A10" s="56">
        <v>8</v>
      </c>
    </row>
    <row r="11" spans="1:366" x14ac:dyDescent="0.25">
      <c r="A11" s="56">
        <v>9</v>
      </c>
    </row>
    <row r="12" spans="1:366" x14ac:dyDescent="0.25">
      <c r="A12" s="56">
        <v>10</v>
      </c>
    </row>
    <row r="13" spans="1:366" x14ac:dyDescent="0.25">
      <c r="A13" s="56">
        <v>11</v>
      </c>
    </row>
    <row r="14" spans="1:366" x14ac:dyDescent="0.25">
      <c r="A14" s="56">
        <v>12</v>
      </c>
    </row>
    <row r="15" spans="1:366" x14ac:dyDescent="0.25">
      <c r="A15" s="56">
        <v>13</v>
      </c>
    </row>
    <row r="16" spans="1:366" x14ac:dyDescent="0.25">
      <c r="A16" s="56">
        <v>14</v>
      </c>
    </row>
    <row r="17" spans="1:1" x14ac:dyDescent="0.25">
      <c r="A17" s="56">
        <v>15</v>
      </c>
    </row>
    <row r="18" spans="1:1" x14ac:dyDescent="0.25">
      <c r="A18" s="56">
        <v>16</v>
      </c>
    </row>
    <row r="19" spans="1:1" x14ac:dyDescent="0.25">
      <c r="A19" s="56">
        <v>17</v>
      </c>
    </row>
    <row r="20" spans="1:1" x14ac:dyDescent="0.25">
      <c r="A20" s="56">
        <v>18</v>
      </c>
    </row>
    <row r="21" spans="1:1" x14ac:dyDescent="0.25">
      <c r="A21" s="56">
        <v>19</v>
      </c>
    </row>
    <row r="22" spans="1:1" x14ac:dyDescent="0.25">
      <c r="A22" s="56">
        <v>20</v>
      </c>
    </row>
    <row r="23" spans="1:1" x14ac:dyDescent="0.25">
      <c r="A23" s="56">
        <v>21</v>
      </c>
    </row>
    <row r="24" spans="1:1" x14ac:dyDescent="0.25">
      <c r="A24" s="56">
        <v>22</v>
      </c>
    </row>
    <row r="25" spans="1:1" x14ac:dyDescent="0.25">
      <c r="A25" s="56">
        <v>23</v>
      </c>
    </row>
    <row r="26" spans="1:1" x14ac:dyDescent="0.25">
      <c r="A26" s="56">
        <v>24</v>
      </c>
    </row>
    <row r="27" spans="1:1" x14ac:dyDescent="0.25">
      <c r="A27" s="56">
        <v>25</v>
      </c>
    </row>
    <row r="28" spans="1:1" x14ac:dyDescent="0.25">
      <c r="A28" s="56">
        <v>26</v>
      </c>
    </row>
    <row r="29" spans="1:1" x14ac:dyDescent="0.25">
      <c r="A29" s="56">
        <v>27</v>
      </c>
    </row>
    <row r="30" spans="1:1" x14ac:dyDescent="0.25">
      <c r="A30" s="56">
        <v>28</v>
      </c>
    </row>
    <row r="31" spans="1:1" x14ac:dyDescent="0.25">
      <c r="A31" s="56">
        <v>29</v>
      </c>
    </row>
    <row r="32" spans="1:1" x14ac:dyDescent="0.25">
      <c r="A32" s="56">
        <v>30</v>
      </c>
    </row>
    <row r="33" spans="1:1" x14ac:dyDescent="0.25">
      <c r="A33" s="56">
        <v>31</v>
      </c>
    </row>
    <row r="34" spans="1:1" x14ac:dyDescent="0.25">
      <c r="A34" s="56">
        <v>32</v>
      </c>
    </row>
    <row r="35" spans="1:1" x14ac:dyDescent="0.25">
      <c r="A35" s="56">
        <v>33</v>
      </c>
    </row>
    <row r="36" spans="1:1" x14ac:dyDescent="0.25">
      <c r="A36" s="56">
        <v>34</v>
      </c>
    </row>
    <row r="37" spans="1:1" x14ac:dyDescent="0.25">
      <c r="A37" s="56">
        <v>35</v>
      </c>
    </row>
    <row r="38" spans="1:1" x14ac:dyDescent="0.25">
      <c r="A38" s="56">
        <v>36</v>
      </c>
    </row>
    <row r="39" spans="1:1" x14ac:dyDescent="0.25">
      <c r="A39" s="56">
        <v>37</v>
      </c>
    </row>
    <row r="40" spans="1:1" x14ac:dyDescent="0.25">
      <c r="A40" s="56">
        <v>38</v>
      </c>
    </row>
    <row r="41" spans="1:1" x14ac:dyDescent="0.25">
      <c r="A41" s="56">
        <v>39</v>
      </c>
    </row>
    <row r="42" spans="1:1" x14ac:dyDescent="0.25">
      <c r="A42" s="56">
        <v>40</v>
      </c>
    </row>
    <row r="43" spans="1:1" x14ac:dyDescent="0.25">
      <c r="A43" s="56">
        <v>41</v>
      </c>
    </row>
    <row r="44" spans="1:1" x14ac:dyDescent="0.25">
      <c r="A44" s="56">
        <v>42</v>
      </c>
    </row>
    <row r="45" spans="1:1" x14ac:dyDescent="0.25">
      <c r="A45" s="56">
        <v>43</v>
      </c>
    </row>
    <row r="46" spans="1:1" x14ac:dyDescent="0.25">
      <c r="A46" s="56">
        <v>44</v>
      </c>
    </row>
    <row r="47" spans="1:1" x14ac:dyDescent="0.25">
      <c r="A47" s="56">
        <v>45</v>
      </c>
    </row>
    <row r="48" spans="1:1" x14ac:dyDescent="0.25">
      <c r="A48" s="56">
        <v>46</v>
      </c>
    </row>
    <row r="49" spans="1:1" x14ac:dyDescent="0.25">
      <c r="A49" s="56">
        <v>47</v>
      </c>
    </row>
    <row r="50" spans="1:1" x14ac:dyDescent="0.25">
      <c r="A50" s="56">
        <v>48</v>
      </c>
    </row>
    <row r="51" spans="1:1" x14ac:dyDescent="0.25">
      <c r="A51" s="56">
        <v>49</v>
      </c>
    </row>
    <row r="52" spans="1:1" x14ac:dyDescent="0.25">
      <c r="A52" s="56">
        <v>50</v>
      </c>
    </row>
    <row r="53" spans="1:1" x14ac:dyDescent="0.25">
      <c r="A53" s="56">
        <v>51</v>
      </c>
    </row>
    <row r="54" spans="1:1" x14ac:dyDescent="0.25">
      <c r="A54" s="56">
        <v>52</v>
      </c>
    </row>
    <row r="55" spans="1:1" x14ac:dyDescent="0.25">
      <c r="A55" s="56">
        <v>53</v>
      </c>
    </row>
    <row r="56" spans="1:1" x14ac:dyDescent="0.25">
      <c r="A56" s="56">
        <v>54</v>
      </c>
    </row>
    <row r="57" spans="1:1" x14ac:dyDescent="0.25">
      <c r="A57" s="56">
        <v>55</v>
      </c>
    </row>
    <row r="58" spans="1:1" x14ac:dyDescent="0.25">
      <c r="A58" s="56">
        <v>56</v>
      </c>
    </row>
    <row r="59" spans="1:1" x14ac:dyDescent="0.25">
      <c r="A59" s="56">
        <v>57</v>
      </c>
    </row>
    <row r="60" spans="1:1" x14ac:dyDescent="0.25">
      <c r="A60" s="56">
        <v>58</v>
      </c>
    </row>
    <row r="61" spans="1:1" x14ac:dyDescent="0.25">
      <c r="A61" s="56">
        <v>59</v>
      </c>
    </row>
    <row r="62" spans="1:1" x14ac:dyDescent="0.25">
      <c r="A62" s="56">
        <v>60</v>
      </c>
    </row>
    <row r="63" spans="1:1" x14ac:dyDescent="0.25">
      <c r="A63" s="56">
        <v>61</v>
      </c>
    </row>
    <row r="64" spans="1:1" x14ac:dyDescent="0.25">
      <c r="A64" s="56">
        <v>62</v>
      </c>
    </row>
    <row r="65" spans="1:1" x14ac:dyDescent="0.25">
      <c r="A65" s="56">
        <v>63</v>
      </c>
    </row>
    <row r="66" spans="1:1" x14ac:dyDescent="0.25">
      <c r="A66" s="56">
        <v>64</v>
      </c>
    </row>
    <row r="67" spans="1:1" x14ac:dyDescent="0.25">
      <c r="A67" s="56">
        <v>65</v>
      </c>
    </row>
    <row r="68" spans="1:1" x14ac:dyDescent="0.25">
      <c r="A68" s="56">
        <v>66</v>
      </c>
    </row>
    <row r="69" spans="1:1" x14ac:dyDescent="0.25">
      <c r="A69" s="56">
        <v>67</v>
      </c>
    </row>
    <row r="70" spans="1:1" x14ac:dyDescent="0.25">
      <c r="A70" s="56">
        <v>68</v>
      </c>
    </row>
    <row r="71" spans="1:1" x14ac:dyDescent="0.25">
      <c r="A71" s="56">
        <v>69</v>
      </c>
    </row>
    <row r="72" spans="1:1" x14ac:dyDescent="0.25">
      <c r="A72" s="56">
        <v>70</v>
      </c>
    </row>
    <row r="73" spans="1:1" x14ac:dyDescent="0.25">
      <c r="A73" s="56">
        <v>71</v>
      </c>
    </row>
    <row r="74" spans="1:1" x14ac:dyDescent="0.25">
      <c r="A74" s="56">
        <v>72</v>
      </c>
    </row>
    <row r="75" spans="1:1" x14ac:dyDescent="0.25">
      <c r="A75" s="56">
        <v>73</v>
      </c>
    </row>
    <row r="76" spans="1:1" x14ac:dyDescent="0.25">
      <c r="A76" s="56">
        <v>74</v>
      </c>
    </row>
    <row r="77" spans="1:1" x14ac:dyDescent="0.25">
      <c r="A77" s="56">
        <v>75</v>
      </c>
    </row>
    <row r="78" spans="1:1" x14ac:dyDescent="0.25">
      <c r="A78" s="56">
        <v>76</v>
      </c>
    </row>
    <row r="79" spans="1:1" x14ac:dyDescent="0.25">
      <c r="A79" s="56">
        <v>77</v>
      </c>
    </row>
    <row r="80" spans="1:1" x14ac:dyDescent="0.25">
      <c r="A80" s="56">
        <v>78</v>
      </c>
    </row>
    <row r="81" spans="1:1" x14ac:dyDescent="0.25">
      <c r="A81" s="56">
        <v>79</v>
      </c>
    </row>
    <row r="82" spans="1:1" x14ac:dyDescent="0.25">
      <c r="A82" s="56">
        <v>80</v>
      </c>
    </row>
    <row r="83" spans="1:1" x14ac:dyDescent="0.25">
      <c r="A83" s="56">
        <v>81</v>
      </c>
    </row>
    <row r="84" spans="1:1" x14ac:dyDescent="0.25">
      <c r="A84" s="56">
        <v>82</v>
      </c>
    </row>
    <row r="85" spans="1:1" x14ac:dyDescent="0.25">
      <c r="A85" s="56">
        <v>83</v>
      </c>
    </row>
    <row r="86" spans="1:1" x14ac:dyDescent="0.25">
      <c r="A86" s="56">
        <v>84</v>
      </c>
    </row>
    <row r="87" spans="1:1" x14ac:dyDescent="0.25">
      <c r="A87" s="56">
        <v>85</v>
      </c>
    </row>
    <row r="88" spans="1:1" x14ac:dyDescent="0.25">
      <c r="A88" s="56">
        <v>86</v>
      </c>
    </row>
    <row r="89" spans="1:1" x14ac:dyDescent="0.25">
      <c r="A89" s="56">
        <v>87</v>
      </c>
    </row>
    <row r="90" spans="1:1" x14ac:dyDescent="0.25">
      <c r="A90" s="56">
        <v>88</v>
      </c>
    </row>
    <row r="91" spans="1:1" x14ac:dyDescent="0.25">
      <c r="A91" s="56">
        <v>89</v>
      </c>
    </row>
    <row r="92" spans="1:1" x14ac:dyDescent="0.25">
      <c r="A92" s="56">
        <v>90</v>
      </c>
    </row>
    <row r="93" spans="1:1" x14ac:dyDescent="0.25">
      <c r="A93" s="56">
        <v>91</v>
      </c>
    </row>
    <row r="94" spans="1:1" x14ac:dyDescent="0.25">
      <c r="A94" s="56">
        <v>92</v>
      </c>
    </row>
    <row r="95" spans="1:1" x14ac:dyDescent="0.25">
      <c r="A95" s="56">
        <v>93</v>
      </c>
    </row>
    <row r="96" spans="1:1" x14ac:dyDescent="0.25">
      <c r="A96" s="56">
        <v>94</v>
      </c>
    </row>
    <row r="97" spans="1:1" x14ac:dyDescent="0.25">
      <c r="A97" s="56">
        <v>95</v>
      </c>
    </row>
    <row r="98" spans="1:1" x14ac:dyDescent="0.25">
      <c r="A98" s="56">
        <v>96</v>
      </c>
    </row>
    <row r="99" spans="1:1" x14ac:dyDescent="0.25">
      <c r="A99" s="56">
        <v>97</v>
      </c>
    </row>
    <row r="100" spans="1:1" x14ac:dyDescent="0.25">
      <c r="A100" s="56">
        <v>98</v>
      </c>
    </row>
    <row r="101" spans="1:1" x14ac:dyDescent="0.25">
      <c r="A101" s="56">
        <v>99</v>
      </c>
    </row>
    <row r="102" spans="1:1" x14ac:dyDescent="0.25">
      <c r="A102" s="56">
        <v>100</v>
      </c>
    </row>
    <row r="103" spans="1:1" x14ac:dyDescent="0.25">
      <c r="A103" s="56">
        <v>101</v>
      </c>
    </row>
    <row r="104" spans="1:1" x14ac:dyDescent="0.25">
      <c r="A104" s="56">
        <v>102</v>
      </c>
    </row>
    <row r="105" spans="1:1" x14ac:dyDescent="0.25">
      <c r="A105" s="56">
        <v>103</v>
      </c>
    </row>
    <row r="106" spans="1:1" x14ac:dyDescent="0.25">
      <c r="A106" s="56">
        <v>104</v>
      </c>
    </row>
    <row r="107" spans="1:1" x14ac:dyDescent="0.25">
      <c r="A107" s="56">
        <v>105</v>
      </c>
    </row>
    <row r="108" spans="1:1" x14ac:dyDescent="0.25">
      <c r="A108" s="56">
        <v>106</v>
      </c>
    </row>
    <row r="109" spans="1:1" x14ac:dyDescent="0.25">
      <c r="A109" s="56">
        <v>107</v>
      </c>
    </row>
    <row r="110" spans="1:1" x14ac:dyDescent="0.25">
      <c r="A110" s="56">
        <v>108</v>
      </c>
    </row>
    <row r="111" spans="1:1" x14ac:dyDescent="0.25">
      <c r="A111" s="56">
        <v>109</v>
      </c>
    </row>
    <row r="112" spans="1:1" x14ac:dyDescent="0.25">
      <c r="A112" s="56">
        <v>110</v>
      </c>
    </row>
    <row r="113" spans="1:1" x14ac:dyDescent="0.25">
      <c r="A113" s="56">
        <v>111</v>
      </c>
    </row>
    <row r="114" spans="1:1" x14ac:dyDescent="0.25">
      <c r="A114" s="56">
        <v>112</v>
      </c>
    </row>
    <row r="115" spans="1:1" x14ac:dyDescent="0.25">
      <c r="A115" s="56">
        <v>113</v>
      </c>
    </row>
    <row r="116" spans="1:1" x14ac:dyDescent="0.25">
      <c r="A116" s="56">
        <v>114</v>
      </c>
    </row>
    <row r="117" spans="1:1" x14ac:dyDescent="0.25">
      <c r="A117" s="56">
        <v>115</v>
      </c>
    </row>
    <row r="118" spans="1:1" x14ac:dyDescent="0.25">
      <c r="A118" s="56">
        <v>116</v>
      </c>
    </row>
    <row r="119" spans="1:1" x14ac:dyDescent="0.25">
      <c r="A119" s="56">
        <v>117</v>
      </c>
    </row>
    <row r="120" spans="1:1" x14ac:dyDescent="0.25">
      <c r="A120" s="56">
        <v>118</v>
      </c>
    </row>
    <row r="121" spans="1:1" x14ac:dyDescent="0.25">
      <c r="A121" s="56">
        <v>119</v>
      </c>
    </row>
    <row r="122" spans="1:1" x14ac:dyDescent="0.25">
      <c r="A122" s="56">
        <v>120</v>
      </c>
    </row>
    <row r="123" spans="1:1" x14ac:dyDescent="0.25">
      <c r="A123" s="56">
        <v>121</v>
      </c>
    </row>
    <row r="124" spans="1:1" x14ac:dyDescent="0.25">
      <c r="A124" s="56">
        <v>122</v>
      </c>
    </row>
    <row r="125" spans="1:1" x14ac:dyDescent="0.25">
      <c r="A125" s="56">
        <v>123</v>
      </c>
    </row>
    <row r="126" spans="1:1" x14ac:dyDescent="0.25">
      <c r="A126" s="56">
        <v>124</v>
      </c>
    </row>
    <row r="127" spans="1:1" x14ac:dyDescent="0.25">
      <c r="A127" s="56">
        <v>125</v>
      </c>
    </row>
    <row r="128" spans="1:1" x14ac:dyDescent="0.25">
      <c r="A128" s="56">
        <v>126</v>
      </c>
    </row>
    <row r="129" spans="1:1" x14ac:dyDescent="0.25">
      <c r="A129" s="56">
        <v>127</v>
      </c>
    </row>
    <row r="130" spans="1:1" x14ac:dyDescent="0.25">
      <c r="A130" s="56">
        <v>128</v>
      </c>
    </row>
    <row r="131" spans="1:1" x14ac:dyDescent="0.25">
      <c r="A131" s="56">
        <v>129</v>
      </c>
    </row>
    <row r="132" spans="1:1" x14ac:dyDescent="0.25">
      <c r="A132" s="56">
        <v>130</v>
      </c>
    </row>
    <row r="133" spans="1:1" x14ac:dyDescent="0.25">
      <c r="A133" s="56">
        <v>131</v>
      </c>
    </row>
    <row r="134" spans="1:1" x14ac:dyDescent="0.25">
      <c r="A134" s="56">
        <v>132</v>
      </c>
    </row>
    <row r="135" spans="1:1" x14ac:dyDescent="0.25">
      <c r="A135" s="56">
        <v>133</v>
      </c>
    </row>
    <row r="136" spans="1:1" x14ac:dyDescent="0.25">
      <c r="A136" s="56">
        <v>134</v>
      </c>
    </row>
    <row r="137" spans="1:1" x14ac:dyDescent="0.25">
      <c r="A137" s="56">
        <v>135</v>
      </c>
    </row>
    <row r="138" spans="1:1" x14ac:dyDescent="0.25">
      <c r="A138" s="56">
        <v>136</v>
      </c>
    </row>
    <row r="139" spans="1:1" x14ac:dyDescent="0.25">
      <c r="A139" s="56">
        <v>137</v>
      </c>
    </row>
    <row r="140" spans="1:1" x14ac:dyDescent="0.25">
      <c r="A140" s="56">
        <v>138</v>
      </c>
    </row>
    <row r="141" spans="1:1" x14ac:dyDescent="0.25">
      <c r="A141" s="56">
        <v>139</v>
      </c>
    </row>
    <row r="142" spans="1:1" x14ac:dyDescent="0.25">
      <c r="A142" s="56">
        <v>140</v>
      </c>
    </row>
    <row r="143" spans="1:1" x14ac:dyDescent="0.25">
      <c r="A143" s="56">
        <v>141</v>
      </c>
    </row>
    <row r="144" spans="1:1" x14ac:dyDescent="0.25">
      <c r="A144" s="56">
        <v>142</v>
      </c>
    </row>
    <row r="145" spans="1:1" x14ac:dyDescent="0.25">
      <c r="A145" s="56">
        <v>143</v>
      </c>
    </row>
    <row r="146" spans="1:1" x14ac:dyDescent="0.25">
      <c r="A146" s="56">
        <v>144</v>
      </c>
    </row>
    <row r="147" spans="1:1" x14ac:dyDescent="0.25">
      <c r="A147" s="56">
        <v>145</v>
      </c>
    </row>
    <row r="148" spans="1:1" x14ac:dyDescent="0.25">
      <c r="A148" s="56">
        <v>146</v>
      </c>
    </row>
    <row r="149" spans="1:1" x14ac:dyDescent="0.25">
      <c r="A149" s="56">
        <v>147</v>
      </c>
    </row>
    <row r="150" spans="1:1" x14ac:dyDescent="0.25">
      <c r="A150" s="56">
        <v>148</v>
      </c>
    </row>
    <row r="151" spans="1:1" x14ac:dyDescent="0.25">
      <c r="A151" s="56">
        <v>149</v>
      </c>
    </row>
    <row r="152" spans="1:1" x14ac:dyDescent="0.25">
      <c r="A152" s="56">
        <v>150</v>
      </c>
    </row>
    <row r="153" spans="1:1" x14ac:dyDescent="0.25">
      <c r="A153" s="56">
        <v>151</v>
      </c>
    </row>
    <row r="154" spans="1:1" x14ac:dyDescent="0.25">
      <c r="A154" s="56">
        <v>152</v>
      </c>
    </row>
    <row r="155" spans="1:1" x14ac:dyDescent="0.25">
      <c r="A155" s="56">
        <v>153</v>
      </c>
    </row>
    <row r="156" spans="1:1" x14ac:dyDescent="0.25">
      <c r="A156" s="56">
        <v>154</v>
      </c>
    </row>
    <row r="157" spans="1:1" x14ac:dyDescent="0.25">
      <c r="A157" s="56">
        <v>155</v>
      </c>
    </row>
    <row r="158" spans="1:1" x14ac:dyDescent="0.25">
      <c r="A158" s="56">
        <v>156</v>
      </c>
    </row>
    <row r="159" spans="1:1" x14ac:dyDescent="0.25">
      <c r="A159" s="56">
        <v>157</v>
      </c>
    </row>
    <row r="160" spans="1:1" x14ac:dyDescent="0.25">
      <c r="A160" s="56">
        <v>158</v>
      </c>
    </row>
    <row r="161" spans="1:1" x14ac:dyDescent="0.25">
      <c r="A161" s="56">
        <v>159</v>
      </c>
    </row>
    <row r="162" spans="1:1" x14ac:dyDescent="0.25">
      <c r="A162" s="56">
        <v>160</v>
      </c>
    </row>
    <row r="163" spans="1:1" x14ac:dyDescent="0.25">
      <c r="A163" s="56">
        <v>161</v>
      </c>
    </row>
    <row r="164" spans="1:1" x14ac:dyDescent="0.25">
      <c r="A164" s="56">
        <v>162</v>
      </c>
    </row>
    <row r="165" spans="1:1" x14ac:dyDescent="0.25">
      <c r="A165" s="56">
        <v>163</v>
      </c>
    </row>
    <row r="166" spans="1:1" x14ac:dyDescent="0.25">
      <c r="A166" s="56">
        <v>164</v>
      </c>
    </row>
    <row r="167" spans="1:1" x14ac:dyDescent="0.25">
      <c r="A167" s="56">
        <v>165</v>
      </c>
    </row>
    <row r="168" spans="1:1" x14ac:dyDescent="0.25">
      <c r="A168" s="56">
        <v>166</v>
      </c>
    </row>
    <row r="169" spans="1:1" x14ac:dyDescent="0.25">
      <c r="A169" s="56">
        <v>167</v>
      </c>
    </row>
    <row r="170" spans="1:1" x14ac:dyDescent="0.25">
      <c r="A170" s="56">
        <v>168</v>
      </c>
    </row>
    <row r="171" spans="1:1" x14ac:dyDescent="0.25">
      <c r="A171" s="56">
        <v>169</v>
      </c>
    </row>
    <row r="172" spans="1:1" x14ac:dyDescent="0.25">
      <c r="A172" s="56">
        <v>170</v>
      </c>
    </row>
    <row r="173" spans="1:1" x14ac:dyDescent="0.25">
      <c r="A173" s="56">
        <v>171</v>
      </c>
    </row>
    <row r="174" spans="1:1" x14ac:dyDescent="0.25">
      <c r="A174" s="56">
        <v>172</v>
      </c>
    </row>
    <row r="175" spans="1:1" x14ac:dyDescent="0.25">
      <c r="A175" s="56">
        <v>173</v>
      </c>
    </row>
    <row r="176" spans="1:1" x14ac:dyDescent="0.25">
      <c r="A176" s="56">
        <v>174</v>
      </c>
    </row>
    <row r="177" spans="1:1" x14ac:dyDescent="0.25">
      <c r="A177" s="56">
        <v>175</v>
      </c>
    </row>
    <row r="178" spans="1:1" x14ac:dyDescent="0.25">
      <c r="A178" s="56">
        <v>176</v>
      </c>
    </row>
    <row r="179" spans="1:1" x14ac:dyDescent="0.25">
      <c r="A179" s="56">
        <v>177</v>
      </c>
    </row>
    <row r="180" spans="1:1" x14ac:dyDescent="0.25">
      <c r="A180" s="56">
        <v>178</v>
      </c>
    </row>
    <row r="181" spans="1:1" x14ac:dyDescent="0.25">
      <c r="A181" s="56">
        <v>179</v>
      </c>
    </row>
    <row r="182" spans="1:1" x14ac:dyDescent="0.25">
      <c r="A182" s="56">
        <v>180</v>
      </c>
    </row>
    <row r="183" spans="1:1" x14ac:dyDescent="0.25">
      <c r="A183" s="56">
        <v>181</v>
      </c>
    </row>
    <row r="184" spans="1:1" x14ac:dyDescent="0.25">
      <c r="A184" s="56">
        <v>182</v>
      </c>
    </row>
    <row r="185" spans="1:1" x14ac:dyDescent="0.25">
      <c r="A185" s="56">
        <v>183</v>
      </c>
    </row>
    <row r="186" spans="1:1" x14ac:dyDescent="0.25">
      <c r="A186" s="56">
        <v>184</v>
      </c>
    </row>
    <row r="187" spans="1:1" x14ac:dyDescent="0.25">
      <c r="A187" s="56">
        <v>185</v>
      </c>
    </row>
    <row r="188" spans="1:1" x14ac:dyDescent="0.25">
      <c r="A188" s="56">
        <v>186</v>
      </c>
    </row>
    <row r="189" spans="1:1" x14ac:dyDescent="0.25">
      <c r="A189" s="56">
        <v>187</v>
      </c>
    </row>
    <row r="190" spans="1:1" x14ac:dyDescent="0.25">
      <c r="A190" s="56">
        <v>188</v>
      </c>
    </row>
    <row r="191" spans="1:1" x14ac:dyDescent="0.25">
      <c r="A191" s="56">
        <v>189</v>
      </c>
    </row>
    <row r="192" spans="1:1" x14ac:dyDescent="0.25">
      <c r="A192" s="56">
        <v>190</v>
      </c>
    </row>
    <row r="193" spans="1:1" x14ac:dyDescent="0.25">
      <c r="A193" s="56">
        <v>191</v>
      </c>
    </row>
    <row r="194" spans="1:1" x14ac:dyDescent="0.25">
      <c r="A194" s="56">
        <v>192</v>
      </c>
    </row>
    <row r="195" spans="1:1" x14ac:dyDescent="0.25">
      <c r="A195" s="56">
        <v>193</v>
      </c>
    </row>
    <row r="196" spans="1:1" x14ac:dyDescent="0.25">
      <c r="A196" s="56">
        <v>194</v>
      </c>
    </row>
    <row r="197" spans="1:1" x14ac:dyDescent="0.25">
      <c r="A197" s="56">
        <v>195</v>
      </c>
    </row>
    <row r="198" spans="1:1" x14ac:dyDescent="0.25">
      <c r="A198" s="56">
        <v>196</v>
      </c>
    </row>
    <row r="199" spans="1:1" x14ac:dyDescent="0.25">
      <c r="A199" s="56">
        <v>197</v>
      </c>
    </row>
    <row r="200" spans="1:1" x14ac:dyDescent="0.25">
      <c r="A200" s="56">
        <v>198</v>
      </c>
    </row>
    <row r="201" spans="1:1" x14ac:dyDescent="0.25">
      <c r="A201" s="56">
        <v>199</v>
      </c>
    </row>
    <row r="202" spans="1:1" x14ac:dyDescent="0.25">
      <c r="A202" s="56">
        <v>200</v>
      </c>
    </row>
    <row r="203" spans="1:1" x14ac:dyDescent="0.25">
      <c r="A203" s="56">
        <v>201</v>
      </c>
    </row>
    <row r="204" spans="1:1" x14ac:dyDescent="0.25">
      <c r="A204" s="56">
        <v>202</v>
      </c>
    </row>
    <row r="205" spans="1:1" x14ac:dyDescent="0.25">
      <c r="A205" s="56">
        <v>203</v>
      </c>
    </row>
    <row r="206" spans="1:1" x14ac:dyDescent="0.25">
      <c r="A206" s="56">
        <v>204</v>
      </c>
    </row>
    <row r="207" spans="1:1" x14ac:dyDescent="0.25">
      <c r="A207" s="56">
        <v>205</v>
      </c>
    </row>
    <row r="208" spans="1:1" x14ac:dyDescent="0.25">
      <c r="A208" s="56">
        <v>206</v>
      </c>
    </row>
    <row r="209" spans="1:1" x14ac:dyDescent="0.25">
      <c r="A209" s="56">
        <v>207</v>
      </c>
    </row>
    <row r="210" spans="1:1" x14ac:dyDescent="0.25">
      <c r="A210" s="56">
        <v>208</v>
      </c>
    </row>
    <row r="211" spans="1:1" x14ac:dyDescent="0.25">
      <c r="A211" s="56">
        <v>209</v>
      </c>
    </row>
    <row r="212" spans="1:1" x14ac:dyDescent="0.25">
      <c r="A212" s="56">
        <v>210</v>
      </c>
    </row>
    <row r="213" spans="1:1" x14ac:dyDescent="0.25">
      <c r="A213" s="56">
        <v>211</v>
      </c>
    </row>
    <row r="214" spans="1:1" x14ac:dyDescent="0.25">
      <c r="A214" s="56">
        <v>212</v>
      </c>
    </row>
    <row r="215" spans="1:1" x14ac:dyDescent="0.25">
      <c r="A215" s="56">
        <v>213</v>
      </c>
    </row>
    <row r="216" spans="1:1" x14ac:dyDescent="0.25">
      <c r="A216" s="56">
        <v>214</v>
      </c>
    </row>
    <row r="217" spans="1:1" x14ac:dyDescent="0.25">
      <c r="A217" s="56">
        <v>215</v>
      </c>
    </row>
    <row r="218" spans="1:1" x14ac:dyDescent="0.25">
      <c r="A218" s="56">
        <v>216</v>
      </c>
    </row>
    <row r="219" spans="1:1" x14ac:dyDescent="0.25">
      <c r="A219" s="56">
        <v>217</v>
      </c>
    </row>
    <row r="220" spans="1:1" x14ac:dyDescent="0.25">
      <c r="A220" s="56">
        <v>218</v>
      </c>
    </row>
    <row r="221" spans="1:1" x14ac:dyDescent="0.25">
      <c r="A221" s="56">
        <v>219</v>
      </c>
    </row>
    <row r="222" spans="1:1" x14ac:dyDescent="0.25">
      <c r="A222" s="56">
        <v>220</v>
      </c>
    </row>
    <row r="223" spans="1:1" x14ac:dyDescent="0.25">
      <c r="A223" s="56">
        <v>221</v>
      </c>
    </row>
    <row r="224" spans="1:1" x14ac:dyDescent="0.25">
      <c r="A224" s="56">
        <v>222</v>
      </c>
    </row>
    <row r="225" spans="1:1" x14ac:dyDescent="0.25">
      <c r="A225" s="56">
        <v>223</v>
      </c>
    </row>
    <row r="226" spans="1:1" x14ac:dyDescent="0.25">
      <c r="A226" s="56">
        <v>224</v>
      </c>
    </row>
    <row r="227" spans="1:1" x14ac:dyDescent="0.25">
      <c r="A227" s="56">
        <v>225</v>
      </c>
    </row>
    <row r="228" spans="1:1" x14ac:dyDescent="0.25">
      <c r="A228" s="56">
        <v>226</v>
      </c>
    </row>
    <row r="229" spans="1:1" x14ac:dyDescent="0.25">
      <c r="A229" s="56">
        <v>227</v>
      </c>
    </row>
    <row r="230" spans="1:1" x14ac:dyDescent="0.25">
      <c r="A230" s="56">
        <v>228</v>
      </c>
    </row>
    <row r="231" spans="1:1" x14ac:dyDescent="0.25">
      <c r="A231" s="56">
        <v>229</v>
      </c>
    </row>
    <row r="232" spans="1:1" x14ac:dyDescent="0.25">
      <c r="A232" s="56">
        <v>230</v>
      </c>
    </row>
    <row r="233" spans="1:1" x14ac:dyDescent="0.25">
      <c r="A233" s="56">
        <v>231</v>
      </c>
    </row>
    <row r="234" spans="1:1" x14ac:dyDescent="0.25">
      <c r="A234" s="56">
        <v>232</v>
      </c>
    </row>
    <row r="235" spans="1:1" x14ac:dyDescent="0.25">
      <c r="A235" s="56">
        <v>233</v>
      </c>
    </row>
    <row r="236" spans="1:1" x14ac:dyDescent="0.25">
      <c r="A236" s="56">
        <v>234</v>
      </c>
    </row>
    <row r="237" spans="1:1" x14ac:dyDescent="0.25">
      <c r="A237" s="56">
        <v>235</v>
      </c>
    </row>
    <row r="238" spans="1:1" x14ac:dyDescent="0.25">
      <c r="A238" s="56">
        <v>236</v>
      </c>
    </row>
    <row r="239" spans="1:1" x14ac:dyDescent="0.25">
      <c r="A239" s="56">
        <v>237</v>
      </c>
    </row>
    <row r="240" spans="1:1" x14ac:dyDescent="0.25">
      <c r="A240" s="56">
        <v>238</v>
      </c>
    </row>
    <row r="241" spans="1:1" x14ac:dyDescent="0.25">
      <c r="A241" s="56">
        <v>239</v>
      </c>
    </row>
    <row r="242" spans="1:1" x14ac:dyDescent="0.25">
      <c r="A242" s="56">
        <v>240</v>
      </c>
    </row>
    <row r="243" spans="1:1" x14ac:dyDescent="0.25">
      <c r="A243" s="56">
        <v>241</v>
      </c>
    </row>
    <row r="244" spans="1:1" x14ac:dyDescent="0.25">
      <c r="A244" s="56">
        <v>242</v>
      </c>
    </row>
    <row r="245" spans="1:1" x14ac:dyDescent="0.25">
      <c r="A245" s="56">
        <v>243</v>
      </c>
    </row>
    <row r="246" spans="1:1" x14ac:dyDescent="0.25">
      <c r="A246" s="56">
        <v>244</v>
      </c>
    </row>
    <row r="247" spans="1:1" x14ac:dyDescent="0.25">
      <c r="A247" s="56">
        <v>245</v>
      </c>
    </row>
    <row r="248" spans="1:1" x14ac:dyDescent="0.25">
      <c r="A248" s="56">
        <v>246</v>
      </c>
    </row>
    <row r="249" spans="1:1" x14ac:dyDescent="0.25">
      <c r="A249" s="56">
        <v>247</v>
      </c>
    </row>
    <row r="250" spans="1:1" x14ac:dyDescent="0.25">
      <c r="A250" s="56">
        <v>248</v>
      </c>
    </row>
    <row r="251" spans="1:1" x14ac:dyDescent="0.25">
      <c r="A251" s="56">
        <v>249</v>
      </c>
    </row>
    <row r="252" spans="1:1" x14ac:dyDescent="0.25">
      <c r="A252" s="56">
        <v>250</v>
      </c>
    </row>
    <row r="253" spans="1:1" x14ac:dyDescent="0.25">
      <c r="A253" s="56">
        <v>251</v>
      </c>
    </row>
    <row r="254" spans="1:1" x14ac:dyDescent="0.25">
      <c r="A254" s="56">
        <v>252</v>
      </c>
    </row>
    <row r="255" spans="1:1" x14ac:dyDescent="0.25">
      <c r="A255" s="56">
        <v>253</v>
      </c>
    </row>
    <row r="256" spans="1:1" x14ac:dyDescent="0.25">
      <c r="A256" s="56">
        <v>254</v>
      </c>
    </row>
    <row r="257" spans="1:1" x14ac:dyDescent="0.25">
      <c r="A257" s="56">
        <v>255</v>
      </c>
    </row>
    <row r="258" spans="1:1" x14ac:dyDescent="0.25">
      <c r="A258" s="56">
        <v>256</v>
      </c>
    </row>
    <row r="259" spans="1:1" x14ac:dyDescent="0.25">
      <c r="A259" s="56">
        <v>257</v>
      </c>
    </row>
    <row r="260" spans="1:1" x14ac:dyDescent="0.25">
      <c r="A260" s="56">
        <v>258</v>
      </c>
    </row>
    <row r="261" spans="1:1" x14ac:dyDescent="0.25">
      <c r="A261" s="56">
        <v>259</v>
      </c>
    </row>
    <row r="262" spans="1:1" x14ac:dyDescent="0.25">
      <c r="A262" s="56">
        <v>260</v>
      </c>
    </row>
    <row r="263" spans="1:1" x14ac:dyDescent="0.25">
      <c r="A263" s="56">
        <v>261</v>
      </c>
    </row>
    <row r="264" spans="1:1" x14ac:dyDescent="0.25">
      <c r="A264" s="56">
        <v>262</v>
      </c>
    </row>
    <row r="265" spans="1:1" x14ac:dyDescent="0.25">
      <c r="A265" s="56">
        <v>263</v>
      </c>
    </row>
    <row r="266" spans="1:1" x14ac:dyDescent="0.25">
      <c r="A266" s="56">
        <v>264</v>
      </c>
    </row>
    <row r="267" spans="1:1" x14ac:dyDescent="0.25">
      <c r="A267" s="56">
        <v>265</v>
      </c>
    </row>
    <row r="268" spans="1:1" x14ac:dyDescent="0.25">
      <c r="A268" s="56">
        <v>266</v>
      </c>
    </row>
    <row r="269" spans="1:1" x14ac:dyDescent="0.25">
      <c r="A269" s="56">
        <v>267</v>
      </c>
    </row>
    <row r="270" spans="1:1" x14ac:dyDescent="0.25">
      <c r="A270" s="56">
        <v>268</v>
      </c>
    </row>
    <row r="271" spans="1:1" x14ac:dyDescent="0.25">
      <c r="A271" s="56">
        <v>269</v>
      </c>
    </row>
    <row r="272" spans="1:1" x14ac:dyDescent="0.25">
      <c r="A272" s="56">
        <v>270</v>
      </c>
    </row>
    <row r="273" spans="1:1" x14ac:dyDescent="0.25">
      <c r="A273" s="56">
        <v>271</v>
      </c>
    </row>
    <row r="274" spans="1:1" x14ac:dyDescent="0.25">
      <c r="A274" s="56">
        <v>272</v>
      </c>
    </row>
    <row r="275" spans="1:1" x14ac:dyDescent="0.25">
      <c r="A275" s="56">
        <v>273</v>
      </c>
    </row>
    <row r="276" spans="1:1" x14ac:dyDescent="0.25">
      <c r="A276" s="56">
        <v>274</v>
      </c>
    </row>
    <row r="277" spans="1:1" x14ac:dyDescent="0.25">
      <c r="A277" s="56">
        <v>275</v>
      </c>
    </row>
    <row r="278" spans="1:1" x14ac:dyDescent="0.25">
      <c r="A278" s="56">
        <v>276</v>
      </c>
    </row>
    <row r="279" spans="1:1" x14ac:dyDescent="0.25">
      <c r="A279" s="56">
        <v>277</v>
      </c>
    </row>
    <row r="280" spans="1:1" x14ac:dyDescent="0.25">
      <c r="A280" s="56">
        <v>278</v>
      </c>
    </row>
    <row r="281" spans="1:1" x14ac:dyDescent="0.25">
      <c r="A281" s="56">
        <v>279</v>
      </c>
    </row>
    <row r="282" spans="1:1" x14ac:dyDescent="0.25">
      <c r="A282" s="56">
        <v>280</v>
      </c>
    </row>
    <row r="283" spans="1:1" x14ac:dyDescent="0.25">
      <c r="A283" s="56">
        <v>281</v>
      </c>
    </row>
    <row r="284" spans="1:1" x14ac:dyDescent="0.25">
      <c r="A284" s="56">
        <v>282</v>
      </c>
    </row>
    <row r="285" spans="1:1" x14ac:dyDescent="0.25">
      <c r="A285" s="56">
        <v>283</v>
      </c>
    </row>
    <row r="286" spans="1:1" x14ac:dyDescent="0.25">
      <c r="A286" s="56">
        <v>284</v>
      </c>
    </row>
    <row r="287" spans="1:1" x14ac:dyDescent="0.25">
      <c r="A287" s="56">
        <v>285</v>
      </c>
    </row>
    <row r="288" spans="1:1" x14ac:dyDescent="0.25">
      <c r="A288" s="56">
        <v>286</v>
      </c>
    </row>
    <row r="289" spans="1:1" x14ac:dyDescent="0.25">
      <c r="A289" s="56">
        <v>287</v>
      </c>
    </row>
    <row r="290" spans="1:1" x14ac:dyDescent="0.25">
      <c r="A290" s="56">
        <v>288</v>
      </c>
    </row>
    <row r="291" spans="1:1" x14ac:dyDescent="0.25">
      <c r="A291" s="56">
        <v>289</v>
      </c>
    </row>
    <row r="292" spans="1:1" x14ac:dyDescent="0.25">
      <c r="A292" s="56">
        <v>290</v>
      </c>
    </row>
    <row r="293" spans="1:1" x14ac:dyDescent="0.25">
      <c r="A293" s="56">
        <v>291</v>
      </c>
    </row>
    <row r="294" spans="1:1" x14ac:dyDescent="0.25">
      <c r="A294" s="56">
        <v>292</v>
      </c>
    </row>
    <row r="295" spans="1:1" x14ac:dyDescent="0.25">
      <c r="A295" s="56">
        <v>293</v>
      </c>
    </row>
    <row r="296" spans="1:1" x14ac:dyDescent="0.25">
      <c r="A296" s="56">
        <v>294</v>
      </c>
    </row>
    <row r="297" spans="1:1" x14ac:dyDescent="0.25">
      <c r="A297" s="56">
        <v>295</v>
      </c>
    </row>
    <row r="298" spans="1:1" x14ac:dyDescent="0.25">
      <c r="A298" s="56">
        <v>296</v>
      </c>
    </row>
    <row r="299" spans="1:1" x14ac:dyDescent="0.25">
      <c r="A299" s="56">
        <v>297</v>
      </c>
    </row>
    <row r="300" spans="1:1" x14ac:dyDescent="0.25">
      <c r="A300" s="56">
        <v>298</v>
      </c>
    </row>
    <row r="301" spans="1:1" x14ac:dyDescent="0.25">
      <c r="A301" s="56">
        <v>299</v>
      </c>
    </row>
    <row r="302" spans="1:1" x14ac:dyDescent="0.25">
      <c r="A302" s="56">
        <v>300</v>
      </c>
    </row>
    <row r="303" spans="1:1" x14ac:dyDescent="0.25">
      <c r="A303" s="56">
        <v>301</v>
      </c>
    </row>
    <row r="304" spans="1:1" x14ac:dyDescent="0.25">
      <c r="A304" s="56">
        <v>302</v>
      </c>
    </row>
    <row r="305" spans="1:1" x14ac:dyDescent="0.25">
      <c r="A305" s="56">
        <v>303</v>
      </c>
    </row>
    <row r="306" spans="1:1" x14ac:dyDescent="0.25">
      <c r="A306" s="56">
        <v>304</v>
      </c>
    </row>
    <row r="307" spans="1:1" x14ac:dyDescent="0.25">
      <c r="A307" s="56">
        <v>305</v>
      </c>
    </row>
    <row r="308" spans="1:1" x14ac:dyDescent="0.25">
      <c r="A308" s="56">
        <v>306</v>
      </c>
    </row>
    <row r="309" spans="1:1" x14ac:dyDescent="0.25">
      <c r="A309" s="56">
        <v>307</v>
      </c>
    </row>
    <row r="310" spans="1:1" x14ac:dyDescent="0.25">
      <c r="A310" s="56">
        <v>308</v>
      </c>
    </row>
    <row r="311" spans="1:1" x14ac:dyDescent="0.25">
      <c r="A311" s="56">
        <v>309</v>
      </c>
    </row>
    <row r="312" spans="1:1" x14ac:dyDescent="0.25">
      <c r="A312" s="56">
        <v>310</v>
      </c>
    </row>
    <row r="313" spans="1:1" x14ac:dyDescent="0.25">
      <c r="A313" s="56">
        <v>311</v>
      </c>
    </row>
    <row r="314" spans="1:1" x14ac:dyDescent="0.25">
      <c r="A314" s="56">
        <v>312</v>
      </c>
    </row>
    <row r="315" spans="1:1" x14ac:dyDescent="0.25">
      <c r="A315" s="56">
        <v>313</v>
      </c>
    </row>
    <row r="316" spans="1:1" x14ac:dyDescent="0.25">
      <c r="A316" s="56">
        <v>314</v>
      </c>
    </row>
    <row r="317" spans="1:1" x14ac:dyDescent="0.25">
      <c r="A317" s="56">
        <v>315</v>
      </c>
    </row>
    <row r="318" spans="1:1" x14ac:dyDescent="0.25">
      <c r="A318" s="56">
        <v>316</v>
      </c>
    </row>
    <row r="319" spans="1:1" x14ac:dyDescent="0.25">
      <c r="A319" s="56">
        <v>317</v>
      </c>
    </row>
    <row r="320" spans="1:1" x14ac:dyDescent="0.25">
      <c r="A320" s="56">
        <v>318</v>
      </c>
    </row>
    <row r="321" spans="1:1" x14ac:dyDescent="0.25">
      <c r="A321" s="56">
        <v>319</v>
      </c>
    </row>
    <row r="322" spans="1:1" x14ac:dyDescent="0.25">
      <c r="A322" s="56">
        <v>320</v>
      </c>
    </row>
    <row r="323" spans="1:1" x14ac:dyDescent="0.25">
      <c r="A323" s="56">
        <v>321</v>
      </c>
    </row>
    <row r="324" spans="1:1" x14ac:dyDescent="0.25">
      <c r="A324" s="56">
        <v>322</v>
      </c>
    </row>
    <row r="325" spans="1:1" x14ac:dyDescent="0.25">
      <c r="A325" s="56">
        <v>323</v>
      </c>
    </row>
    <row r="326" spans="1:1" x14ac:dyDescent="0.25">
      <c r="A326" s="56">
        <v>324</v>
      </c>
    </row>
    <row r="327" spans="1:1" x14ac:dyDescent="0.25">
      <c r="A327" s="56">
        <v>325</v>
      </c>
    </row>
    <row r="328" spans="1:1" x14ac:dyDescent="0.25">
      <c r="A328" s="56">
        <v>326</v>
      </c>
    </row>
    <row r="329" spans="1:1" x14ac:dyDescent="0.25">
      <c r="A329" s="56">
        <v>327</v>
      </c>
    </row>
    <row r="330" spans="1:1" x14ac:dyDescent="0.25">
      <c r="A330" s="56">
        <v>328</v>
      </c>
    </row>
    <row r="331" spans="1:1" x14ac:dyDescent="0.25">
      <c r="A331" s="56">
        <v>329</v>
      </c>
    </row>
    <row r="332" spans="1:1" x14ac:dyDescent="0.25">
      <c r="A332" s="56">
        <v>330</v>
      </c>
    </row>
    <row r="333" spans="1:1" x14ac:dyDescent="0.25">
      <c r="A333" s="56">
        <v>331</v>
      </c>
    </row>
    <row r="334" spans="1:1" x14ac:dyDescent="0.25">
      <c r="A334" s="56">
        <v>332</v>
      </c>
    </row>
    <row r="335" spans="1:1" x14ac:dyDescent="0.25">
      <c r="A335" s="56">
        <v>333</v>
      </c>
    </row>
    <row r="336" spans="1:1" x14ac:dyDescent="0.25">
      <c r="A336" s="56">
        <v>334</v>
      </c>
    </row>
    <row r="337" spans="1:1" x14ac:dyDescent="0.25">
      <c r="A337" s="56">
        <v>335</v>
      </c>
    </row>
    <row r="338" spans="1:1" x14ac:dyDescent="0.25">
      <c r="A338" s="56">
        <v>336</v>
      </c>
    </row>
    <row r="339" spans="1:1" x14ac:dyDescent="0.25">
      <c r="A339" s="56">
        <v>337</v>
      </c>
    </row>
    <row r="340" spans="1:1" x14ac:dyDescent="0.25">
      <c r="A340" s="56">
        <v>338</v>
      </c>
    </row>
    <row r="341" spans="1:1" x14ac:dyDescent="0.25">
      <c r="A341" s="56">
        <v>339</v>
      </c>
    </row>
    <row r="342" spans="1:1" x14ac:dyDescent="0.25">
      <c r="A342" s="56">
        <v>340</v>
      </c>
    </row>
    <row r="343" spans="1:1" x14ac:dyDescent="0.25">
      <c r="A343" s="56">
        <v>341</v>
      </c>
    </row>
    <row r="344" spans="1:1" x14ac:dyDescent="0.25">
      <c r="A344" s="56">
        <v>342</v>
      </c>
    </row>
    <row r="345" spans="1:1" x14ac:dyDescent="0.25">
      <c r="A345" s="56">
        <v>343</v>
      </c>
    </row>
    <row r="346" spans="1:1" x14ac:dyDescent="0.25">
      <c r="A346" s="56">
        <v>344</v>
      </c>
    </row>
    <row r="347" spans="1:1" x14ac:dyDescent="0.25">
      <c r="A347" s="56">
        <v>345</v>
      </c>
    </row>
    <row r="348" spans="1:1" x14ac:dyDescent="0.25">
      <c r="A348" s="56">
        <v>346</v>
      </c>
    </row>
    <row r="349" spans="1:1" x14ac:dyDescent="0.25">
      <c r="A349" s="56">
        <v>347</v>
      </c>
    </row>
    <row r="350" spans="1:1" x14ac:dyDescent="0.25">
      <c r="A350" s="56">
        <v>348</v>
      </c>
    </row>
    <row r="351" spans="1:1" x14ac:dyDescent="0.25">
      <c r="A351" s="56">
        <v>349</v>
      </c>
    </row>
    <row r="352" spans="1:1" x14ac:dyDescent="0.25">
      <c r="A352" s="56">
        <v>350</v>
      </c>
    </row>
    <row r="353" spans="1:1" x14ac:dyDescent="0.25">
      <c r="A353" s="56">
        <v>351</v>
      </c>
    </row>
    <row r="354" spans="1:1" x14ac:dyDescent="0.25">
      <c r="A354" s="56">
        <v>352</v>
      </c>
    </row>
    <row r="355" spans="1:1" x14ac:dyDescent="0.25">
      <c r="A355" s="56">
        <v>353</v>
      </c>
    </row>
    <row r="356" spans="1:1" x14ac:dyDescent="0.25">
      <c r="A356" s="56">
        <v>354</v>
      </c>
    </row>
    <row r="357" spans="1:1" x14ac:dyDescent="0.25">
      <c r="A357" s="56">
        <v>355</v>
      </c>
    </row>
    <row r="358" spans="1:1" x14ac:dyDescent="0.25">
      <c r="A358" s="56">
        <v>356</v>
      </c>
    </row>
    <row r="359" spans="1:1" x14ac:dyDescent="0.25">
      <c r="A359" s="56">
        <v>357</v>
      </c>
    </row>
    <row r="360" spans="1:1" x14ac:dyDescent="0.25">
      <c r="A360" s="56">
        <v>358</v>
      </c>
    </row>
    <row r="361" spans="1:1" x14ac:dyDescent="0.25">
      <c r="A361" s="56">
        <v>359</v>
      </c>
    </row>
    <row r="362" spans="1:1" x14ac:dyDescent="0.25">
      <c r="A362" s="56">
        <v>360</v>
      </c>
    </row>
    <row r="363" spans="1:1" x14ac:dyDescent="0.25">
      <c r="A363" s="56">
        <v>361</v>
      </c>
    </row>
    <row r="364" spans="1:1" x14ac:dyDescent="0.25">
      <c r="A364" s="56">
        <v>362</v>
      </c>
    </row>
    <row r="365" spans="1:1" x14ac:dyDescent="0.25">
      <c r="A365" s="56">
        <v>363</v>
      </c>
    </row>
    <row r="366" spans="1:1" x14ac:dyDescent="0.25">
      <c r="A366" s="56">
        <v>364</v>
      </c>
    </row>
    <row r="367" spans="1:1" x14ac:dyDescent="0.25">
      <c r="A367" s="56">
        <v>365</v>
      </c>
    </row>
    <row r="368" spans="1:1" x14ac:dyDescent="0.25">
      <c r="A368" s="56">
        <v>366</v>
      </c>
    </row>
    <row r="369" spans="1:1" x14ac:dyDescent="0.25">
      <c r="A369" s="56">
        <v>367</v>
      </c>
    </row>
    <row r="370" spans="1:1" x14ac:dyDescent="0.25">
      <c r="A370" s="56">
        <v>368</v>
      </c>
    </row>
    <row r="371" spans="1:1" x14ac:dyDescent="0.25">
      <c r="A371" s="56">
        <v>369</v>
      </c>
    </row>
    <row r="372" spans="1:1" x14ac:dyDescent="0.25">
      <c r="A372" s="56">
        <v>370</v>
      </c>
    </row>
    <row r="373" spans="1:1" x14ac:dyDescent="0.25">
      <c r="A373" s="56">
        <v>371</v>
      </c>
    </row>
    <row r="374" spans="1:1" x14ac:dyDescent="0.25">
      <c r="A374" s="56">
        <v>372</v>
      </c>
    </row>
    <row r="375" spans="1:1" x14ac:dyDescent="0.25">
      <c r="A375" s="56">
        <v>373</v>
      </c>
    </row>
    <row r="376" spans="1:1" x14ac:dyDescent="0.25">
      <c r="A376" s="56">
        <v>374</v>
      </c>
    </row>
    <row r="377" spans="1:1" x14ac:dyDescent="0.25">
      <c r="A377" s="56">
        <v>375</v>
      </c>
    </row>
    <row r="378" spans="1:1" x14ac:dyDescent="0.25">
      <c r="A378" s="56">
        <v>376</v>
      </c>
    </row>
    <row r="379" spans="1:1" x14ac:dyDescent="0.25">
      <c r="A379" s="56">
        <v>377</v>
      </c>
    </row>
    <row r="380" spans="1:1" x14ac:dyDescent="0.25">
      <c r="A380" s="56">
        <v>378</v>
      </c>
    </row>
    <row r="381" spans="1:1" x14ac:dyDescent="0.25">
      <c r="A381" s="56">
        <v>379</v>
      </c>
    </row>
    <row r="382" spans="1:1" x14ac:dyDescent="0.25">
      <c r="A382" s="56">
        <v>380</v>
      </c>
    </row>
    <row r="383" spans="1:1" x14ac:dyDescent="0.25">
      <c r="A383" s="56">
        <v>381</v>
      </c>
    </row>
    <row r="384" spans="1:1" x14ac:dyDescent="0.25">
      <c r="A384" s="56">
        <v>382</v>
      </c>
    </row>
    <row r="385" spans="1:1" x14ac:dyDescent="0.25">
      <c r="A385" s="56">
        <v>383</v>
      </c>
    </row>
    <row r="386" spans="1:1" x14ac:dyDescent="0.25">
      <c r="A386" s="56">
        <v>384</v>
      </c>
    </row>
    <row r="387" spans="1:1" x14ac:dyDescent="0.25">
      <c r="A387" s="56">
        <v>385</v>
      </c>
    </row>
    <row r="388" spans="1:1" x14ac:dyDescent="0.25">
      <c r="A388" s="56">
        <v>386</v>
      </c>
    </row>
    <row r="389" spans="1:1" x14ac:dyDescent="0.25">
      <c r="A389" s="56">
        <v>387</v>
      </c>
    </row>
    <row r="390" spans="1:1" x14ac:dyDescent="0.25">
      <c r="A390" s="56">
        <v>388</v>
      </c>
    </row>
    <row r="391" spans="1:1" x14ac:dyDescent="0.25">
      <c r="A391" s="56">
        <v>389</v>
      </c>
    </row>
    <row r="392" spans="1:1" x14ac:dyDescent="0.25">
      <c r="A392" s="56">
        <v>390</v>
      </c>
    </row>
    <row r="393" spans="1:1" x14ac:dyDescent="0.25">
      <c r="A393" s="56">
        <v>391</v>
      </c>
    </row>
    <row r="394" spans="1:1" x14ac:dyDescent="0.25">
      <c r="A394" s="56">
        <v>392</v>
      </c>
    </row>
    <row r="395" spans="1:1" x14ac:dyDescent="0.25">
      <c r="A395" s="56">
        <v>393</v>
      </c>
    </row>
    <row r="396" spans="1:1" x14ac:dyDescent="0.25">
      <c r="A396" s="56">
        <v>394</v>
      </c>
    </row>
    <row r="397" spans="1:1" x14ac:dyDescent="0.25">
      <c r="A397" s="56">
        <v>395</v>
      </c>
    </row>
    <row r="398" spans="1:1" x14ac:dyDescent="0.25">
      <c r="A398" s="56">
        <v>396</v>
      </c>
    </row>
    <row r="399" spans="1:1" x14ac:dyDescent="0.25">
      <c r="A399" s="56">
        <v>397</v>
      </c>
    </row>
    <row r="400" spans="1:1" x14ac:dyDescent="0.25">
      <c r="A400" s="56">
        <v>398</v>
      </c>
    </row>
    <row r="401" spans="1:1" x14ac:dyDescent="0.25">
      <c r="A401" s="56">
        <v>399</v>
      </c>
    </row>
    <row r="402" spans="1:1" x14ac:dyDescent="0.25">
      <c r="A402" s="56">
        <v>400</v>
      </c>
    </row>
    <row r="403" spans="1:1" x14ac:dyDescent="0.25">
      <c r="A403" s="56">
        <v>401</v>
      </c>
    </row>
    <row r="404" spans="1:1" x14ac:dyDescent="0.25">
      <c r="A404" s="56">
        <v>402</v>
      </c>
    </row>
    <row r="405" spans="1:1" x14ac:dyDescent="0.25">
      <c r="A405" s="56">
        <v>403</v>
      </c>
    </row>
    <row r="406" spans="1:1" x14ac:dyDescent="0.25">
      <c r="A406" s="56">
        <v>404</v>
      </c>
    </row>
    <row r="407" spans="1:1" x14ac:dyDescent="0.25">
      <c r="A407" s="56">
        <v>405</v>
      </c>
    </row>
    <row r="408" spans="1:1" x14ac:dyDescent="0.25">
      <c r="A408" s="56">
        <v>406</v>
      </c>
    </row>
    <row r="409" spans="1:1" x14ac:dyDescent="0.25">
      <c r="A409" s="56">
        <v>407</v>
      </c>
    </row>
    <row r="410" spans="1:1" x14ac:dyDescent="0.25">
      <c r="A410" s="56">
        <v>408</v>
      </c>
    </row>
    <row r="411" spans="1:1" x14ac:dyDescent="0.25">
      <c r="A411" s="56">
        <v>409</v>
      </c>
    </row>
    <row r="412" spans="1:1" x14ac:dyDescent="0.25">
      <c r="A412" s="56">
        <v>410</v>
      </c>
    </row>
    <row r="413" spans="1:1" x14ac:dyDescent="0.25">
      <c r="A413" s="56">
        <v>411</v>
      </c>
    </row>
    <row r="414" spans="1:1" x14ac:dyDescent="0.25">
      <c r="A414" s="56">
        <v>412</v>
      </c>
    </row>
    <row r="415" spans="1:1" x14ac:dyDescent="0.25">
      <c r="A415" s="56">
        <v>413</v>
      </c>
    </row>
    <row r="416" spans="1:1" x14ac:dyDescent="0.25">
      <c r="A416" s="56">
        <v>414</v>
      </c>
    </row>
    <row r="417" spans="1:1" x14ac:dyDescent="0.25">
      <c r="A417" s="56">
        <v>415</v>
      </c>
    </row>
    <row r="418" spans="1:1" x14ac:dyDescent="0.25">
      <c r="A418" s="56">
        <v>416</v>
      </c>
    </row>
    <row r="419" spans="1:1" x14ac:dyDescent="0.25">
      <c r="A419" s="56">
        <v>417</v>
      </c>
    </row>
    <row r="420" spans="1:1" x14ac:dyDescent="0.25">
      <c r="A420" s="56">
        <v>418</v>
      </c>
    </row>
    <row r="421" spans="1:1" x14ac:dyDescent="0.25">
      <c r="A421" s="56">
        <v>419</v>
      </c>
    </row>
    <row r="422" spans="1:1" x14ac:dyDescent="0.25">
      <c r="A422" s="56">
        <v>420</v>
      </c>
    </row>
    <row r="423" spans="1:1" x14ac:dyDescent="0.25">
      <c r="A423" s="56">
        <v>421</v>
      </c>
    </row>
    <row r="424" spans="1:1" x14ac:dyDescent="0.25">
      <c r="A424" s="56">
        <v>422</v>
      </c>
    </row>
    <row r="425" spans="1:1" x14ac:dyDescent="0.25">
      <c r="A425" s="56">
        <v>423</v>
      </c>
    </row>
    <row r="426" spans="1:1" x14ac:dyDescent="0.25">
      <c r="A426" s="56">
        <v>424</v>
      </c>
    </row>
    <row r="427" spans="1:1" x14ac:dyDescent="0.25">
      <c r="A427" s="56">
        <v>425</v>
      </c>
    </row>
    <row r="428" spans="1:1" x14ac:dyDescent="0.25">
      <c r="A428" s="56">
        <v>426</v>
      </c>
    </row>
    <row r="429" spans="1:1" x14ac:dyDescent="0.25">
      <c r="A429" s="56">
        <v>427</v>
      </c>
    </row>
    <row r="430" spans="1:1" x14ac:dyDescent="0.25">
      <c r="A430" s="56">
        <v>428</v>
      </c>
    </row>
    <row r="431" spans="1:1" x14ac:dyDescent="0.25">
      <c r="A431" s="56">
        <v>429</v>
      </c>
    </row>
    <row r="432" spans="1:1" x14ac:dyDescent="0.25">
      <c r="A432" s="56">
        <v>430</v>
      </c>
    </row>
    <row r="433" spans="1:1" x14ac:dyDescent="0.25">
      <c r="A433" s="56">
        <v>431</v>
      </c>
    </row>
    <row r="434" spans="1:1" x14ac:dyDescent="0.25">
      <c r="A434" s="56">
        <v>432</v>
      </c>
    </row>
    <row r="435" spans="1:1" x14ac:dyDescent="0.25">
      <c r="A435" s="56">
        <v>433</v>
      </c>
    </row>
    <row r="436" spans="1:1" x14ac:dyDescent="0.25">
      <c r="A436" s="56">
        <v>434</v>
      </c>
    </row>
    <row r="437" spans="1:1" x14ac:dyDescent="0.25">
      <c r="A437" s="56">
        <v>435</v>
      </c>
    </row>
    <row r="438" spans="1:1" x14ac:dyDescent="0.25">
      <c r="A438" s="56">
        <v>436</v>
      </c>
    </row>
    <row r="439" spans="1:1" x14ac:dyDescent="0.25">
      <c r="A439" s="56">
        <v>437</v>
      </c>
    </row>
    <row r="440" spans="1:1" x14ac:dyDescent="0.25">
      <c r="A440" s="56">
        <v>438</v>
      </c>
    </row>
    <row r="441" spans="1:1" x14ac:dyDescent="0.25">
      <c r="A441" s="56">
        <v>439</v>
      </c>
    </row>
    <row r="442" spans="1:1" x14ac:dyDescent="0.25">
      <c r="A442" s="56">
        <v>440</v>
      </c>
    </row>
    <row r="443" spans="1:1" x14ac:dyDescent="0.25">
      <c r="A443" s="56">
        <v>441</v>
      </c>
    </row>
    <row r="444" spans="1:1" x14ac:dyDescent="0.25">
      <c r="A444" s="56">
        <v>442</v>
      </c>
    </row>
    <row r="445" spans="1:1" x14ac:dyDescent="0.25">
      <c r="A445" s="56">
        <v>443</v>
      </c>
    </row>
    <row r="446" spans="1:1" x14ac:dyDescent="0.25">
      <c r="A446" s="56">
        <v>444</v>
      </c>
    </row>
    <row r="447" spans="1:1" x14ac:dyDescent="0.25">
      <c r="A447" s="56">
        <v>445</v>
      </c>
    </row>
    <row r="448" spans="1:1" x14ac:dyDescent="0.25">
      <c r="A448" s="56">
        <v>446</v>
      </c>
    </row>
    <row r="449" spans="1:1" x14ac:dyDescent="0.25">
      <c r="A449" s="56">
        <v>447</v>
      </c>
    </row>
    <row r="450" spans="1:1" x14ac:dyDescent="0.25">
      <c r="A450" s="56">
        <v>448</v>
      </c>
    </row>
    <row r="451" spans="1:1" x14ac:dyDescent="0.25">
      <c r="A451" s="56">
        <v>449</v>
      </c>
    </row>
    <row r="452" spans="1:1" x14ac:dyDescent="0.25">
      <c r="A452" s="56">
        <v>450</v>
      </c>
    </row>
    <row r="453" spans="1:1" x14ac:dyDescent="0.25">
      <c r="A453" s="56">
        <v>451</v>
      </c>
    </row>
    <row r="454" spans="1:1" x14ac:dyDescent="0.25">
      <c r="A454" s="56">
        <v>452</v>
      </c>
    </row>
    <row r="455" spans="1:1" x14ac:dyDescent="0.25">
      <c r="A455" s="56">
        <v>453</v>
      </c>
    </row>
    <row r="456" spans="1:1" x14ac:dyDescent="0.25">
      <c r="A456" s="56">
        <v>454</v>
      </c>
    </row>
    <row r="457" spans="1:1" x14ac:dyDescent="0.25">
      <c r="A457" s="56">
        <v>455</v>
      </c>
    </row>
    <row r="458" spans="1:1" x14ac:dyDescent="0.25">
      <c r="A458" s="56">
        <v>456</v>
      </c>
    </row>
    <row r="459" spans="1:1" x14ac:dyDescent="0.25">
      <c r="A459" s="56">
        <v>457</v>
      </c>
    </row>
    <row r="460" spans="1:1" x14ac:dyDescent="0.25">
      <c r="A460" s="56">
        <v>458</v>
      </c>
    </row>
    <row r="461" spans="1:1" x14ac:dyDescent="0.25">
      <c r="A461" s="56">
        <v>459</v>
      </c>
    </row>
    <row r="462" spans="1:1" x14ac:dyDescent="0.25">
      <c r="A462" s="56">
        <v>460</v>
      </c>
    </row>
    <row r="463" spans="1:1" x14ac:dyDescent="0.25">
      <c r="A463" s="56">
        <v>461</v>
      </c>
    </row>
    <row r="464" spans="1:1" x14ac:dyDescent="0.25">
      <c r="A464" s="56">
        <v>462</v>
      </c>
    </row>
    <row r="465" spans="1:1" x14ac:dyDescent="0.25">
      <c r="A465" s="56">
        <v>463</v>
      </c>
    </row>
    <row r="466" spans="1:1" x14ac:dyDescent="0.25">
      <c r="A466" s="56">
        <v>464</v>
      </c>
    </row>
    <row r="467" spans="1:1" x14ac:dyDescent="0.25">
      <c r="A467" s="56">
        <v>465</v>
      </c>
    </row>
    <row r="468" spans="1:1" x14ac:dyDescent="0.25">
      <c r="A468" s="56">
        <v>466</v>
      </c>
    </row>
    <row r="469" spans="1:1" x14ac:dyDescent="0.25">
      <c r="A469" s="56">
        <v>467</v>
      </c>
    </row>
    <row r="470" spans="1:1" x14ac:dyDescent="0.25">
      <c r="A470" s="56">
        <v>468</v>
      </c>
    </row>
    <row r="471" spans="1:1" x14ac:dyDescent="0.25">
      <c r="A471" s="56">
        <v>469</v>
      </c>
    </row>
    <row r="472" spans="1:1" x14ac:dyDescent="0.25">
      <c r="A472" s="56">
        <v>470</v>
      </c>
    </row>
    <row r="473" spans="1:1" x14ac:dyDescent="0.25">
      <c r="A473" s="56">
        <v>471</v>
      </c>
    </row>
    <row r="474" spans="1:1" x14ac:dyDescent="0.25">
      <c r="A474" s="56">
        <v>472</v>
      </c>
    </row>
    <row r="475" spans="1:1" x14ac:dyDescent="0.25">
      <c r="A475" s="56">
        <v>473</v>
      </c>
    </row>
    <row r="476" spans="1:1" x14ac:dyDescent="0.25">
      <c r="A476" s="56">
        <v>474</v>
      </c>
    </row>
    <row r="477" spans="1:1" x14ac:dyDescent="0.25">
      <c r="A477" s="56">
        <v>475</v>
      </c>
    </row>
    <row r="478" spans="1:1" x14ac:dyDescent="0.25">
      <c r="A478" s="56">
        <v>476</v>
      </c>
    </row>
    <row r="479" spans="1:1" x14ac:dyDescent="0.25">
      <c r="A479" s="56">
        <v>477</v>
      </c>
    </row>
    <row r="480" spans="1:1" x14ac:dyDescent="0.25">
      <c r="A480" s="56">
        <v>478</v>
      </c>
    </row>
    <row r="481" spans="1:1" x14ac:dyDescent="0.25">
      <c r="A481" s="56">
        <v>479</v>
      </c>
    </row>
    <row r="482" spans="1:1" x14ac:dyDescent="0.25">
      <c r="A482" s="56">
        <v>480</v>
      </c>
    </row>
    <row r="483" spans="1:1" x14ac:dyDescent="0.25">
      <c r="A483" s="56">
        <v>481</v>
      </c>
    </row>
    <row r="484" spans="1:1" x14ac:dyDescent="0.25">
      <c r="A484" s="56">
        <v>482</v>
      </c>
    </row>
    <row r="485" spans="1:1" x14ac:dyDescent="0.25">
      <c r="A485" s="56">
        <v>483</v>
      </c>
    </row>
    <row r="486" spans="1:1" x14ac:dyDescent="0.25">
      <c r="A486" s="56">
        <v>484</v>
      </c>
    </row>
    <row r="487" spans="1:1" x14ac:dyDescent="0.25">
      <c r="A487" s="56">
        <v>485</v>
      </c>
    </row>
    <row r="488" spans="1:1" x14ac:dyDescent="0.25">
      <c r="A488" s="56">
        <v>486</v>
      </c>
    </row>
    <row r="489" spans="1:1" x14ac:dyDescent="0.25">
      <c r="A489" s="56">
        <v>487</v>
      </c>
    </row>
    <row r="490" spans="1:1" x14ac:dyDescent="0.25">
      <c r="A490" s="56">
        <v>488</v>
      </c>
    </row>
    <row r="491" spans="1:1" x14ac:dyDescent="0.25">
      <c r="A491" s="56">
        <v>489</v>
      </c>
    </row>
    <row r="492" spans="1:1" x14ac:dyDescent="0.25">
      <c r="A492" s="56">
        <v>490</v>
      </c>
    </row>
    <row r="493" spans="1:1" x14ac:dyDescent="0.25">
      <c r="A493" s="56">
        <v>491</v>
      </c>
    </row>
    <row r="494" spans="1:1" x14ac:dyDescent="0.25">
      <c r="A494" s="56">
        <v>492</v>
      </c>
    </row>
    <row r="495" spans="1:1" x14ac:dyDescent="0.25">
      <c r="A495" s="56">
        <v>493</v>
      </c>
    </row>
    <row r="496" spans="1:1" x14ac:dyDescent="0.25">
      <c r="A496" s="56">
        <v>494</v>
      </c>
    </row>
    <row r="497" spans="1:1" x14ac:dyDescent="0.25">
      <c r="A497" s="56">
        <v>495</v>
      </c>
    </row>
    <row r="498" spans="1:1" x14ac:dyDescent="0.25">
      <c r="A498" s="56">
        <v>496</v>
      </c>
    </row>
    <row r="499" spans="1:1" x14ac:dyDescent="0.25">
      <c r="A499" s="56">
        <v>497</v>
      </c>
    </row>
    <row r="500" spans="1:1" x14ac:dyDescent="0.25">
      <c r="A500" s="56">
        <v>498</v>
      </c>
    </row>
    <row r="501" spans="1:1" x14ac:dyDescent="0.25">
      <c r="A501" s="56">
        <v>499</v>
      </c>
    </row>
    <row r="502" spans="1:1" x14ac:dyDescent="0.25">
      <c r="A502" s="56">
        <v>500</v>
      </c>
    </row>
    <row r="503" spans="1:1" x14ac:dyDescent="0.25">
      <c r="A503" s="56">
        <v>501</v>
      </c>
    </row>
    <row r="504" spans="1:1" x14ac:dyDescent="0.25">
      <c r="A504" s="56">
        <v>502</v>
      </c>
    </row>
    <row r="505" spans="1:1" x14ac:dyDescent="0.25">
      <c r="A505" s="56">
        <v>503</v>
      </c>
    </row>
    <row r="506" spans="1:1" x14ac:dyDescent="0.25">
      <c r="A506" s="56">
        <v>504</v>
      </c>
    </row>
    <row r="507" spans="1:1" x14ac:dyDescent="0.25">
      <c r="A507" s="56">
        <v>505</v>
      </c>
    </row>
    <row r="508" spans="1:1" x14ac:dyDescent="0.25">
      <c r="A508" s="56">
        <v>506</v>
      </c>
    </row>
    <row r="509" spans="1:1" x14ac:dyDescent="0.25">
      <c r="A509" s="56">
        <v>507</v>
      </c>
    </row>
    <row r="510" spans="1:1" x14ac:dyDescent="0.25">
      <c r="A510" s="56">
        <v>508</v>
      </c>
    </row>
    <row r="511" spans="1:1" x14ac:dyDescent="0.25">
      <c r="A511" s="56">
        <v>509</v>
      </c>
    </row>
    <row r="512" spans="1:1" x14ac:dyDescent="0.25">
      <c r="A512" s="56">
        <v>510</v>
      </c>
    </row>
    <row r="513" spans="1:1" x14ac:dyDescent="0.25">
      <c r="A513" s="56">
        <v>511</v>
      </c>
    </row>
    <row r="514" spans="1:1" x14ac:dyDescent="0.25">
      <c r="A514" s="56">
        <v>512</v>
      </c>
    </row>
    <row r="515" spans="1:1" x14ac:dyDescent="0.25">
      <c r="A515" s="56">
        <v>513</v>
      </c>
    </row>
    <row r="516" spans="1:1" x14ac:dyDescent="0.25">
      <c r="A516" s="56">
        <v>514</v>
      </c>
    </row>
  </sheetData>
  <dataConsolidate/>
  <phoneticPr fontId="21" type="noConversion"/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4C8E8325-3CA4-44B6-918F-3800FBD61764}">
            <xm:f>Tables!$AR$6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C6173-C7DC-44DF-AE29-A7F13E19572E}">
  <sheetPr codeName="Sheet12">
    <tabColor theme="1"/>
  </sheetPr>
  <dimension ref="A1:BJ51"/>
  <sheetViews>
    <sheetView workbookViewId="0">
      <selection activeCell="J38" sqref="J38"/>
    </sheetView>
  </sheetViews>
  <sheetFormatPr defaultRowHeight="15" x14ac:dyDescent="0.25"/>
  <cols>
    <col min="1" max="1" width="13.7109375" bestFit="1" customWidth="1"/>
    <col min="2" max="2" width="11.42578125" bestFit="1" customWidth="1"/>
    <col min="3" max="3" width="11.28515625" bestFit="1" customWidth="1"/>
    <col min="4" max="4" width="12.140625" bestFit="1" customWidth="1"/>
    <col min="5" max="5" width="9" bestFit="1" customWidth="1"/>
    <col min="6" max="14" width="6" bestFit="1" customWidth="1"/>
    <col min="27" max="27" width="13.7109375" bestFit="1" customWidth="1"/>
    <col min="28" max="28" width="8.140625" bestFit="1" customWidth="1"/>
    <col min="29" max="29" width="5" bestFit="1" customWidth="1"/>
    <col min="30" max="30" width="6" bestFit="1" customWidth="1"/>
    <col min="31" max="31" width="5" bestFit="1" customWidth="1"/>
    <col min="32" max="40" width="6" bestFit="1" customWidth="1"/>
    <col min="46" max="46" width="13.85546875" bestFit="1" customWidth="1"/>
  </cols>
  <sheetData>
    <row r="1" spans="1:62" ht="15.75" thickBot="1" x14ac:dyDescent="0.3">
      <c r="A1" t="s">
        <v>96</v>
      </c>
      <c r="B1" t="s">
        <v>175</v>
      </c>
      <c r="C1" t="s">
        <v>71</v>
      </c>
      <c r="D1" t="s">
        <v>7</v>
      </c>
      <c r="E1" t="s">
        <v>176</v>
      </c>
      <c r="F1" s="33" t="s">
        <v>113</v>
      </c>
      <c r="AA1" s="16" t="s">
        <v>173</v>
      </c>
      <c r="AB1" s="11">
        <v>1</v>
      </c>
      <c r="AC1" s="12">
        <v>2</v>
      </c>
      <c r="AD1" s="12">
        <v>3</v>
      </c>
      <c r="AE1" s="12">
        <v>4</v>
      </c>
      <c r="AF1" s="12">
        <v>5</v>
      </c>
      <c r="AG1" s="12">
        <v>6</v>
      </c>
      <c r="AH1" s="12">
        <v>7</v>
      </c>
      <c r="AI1" s="12">
        <v>8</v>
      </c>
      <c r="AJ1" s="12">
        <v>9</v>
      </c>
      <c r="AK1" s="12">
        <v>10</v>
      </c>
      <c r="AL1" s="12">
        <v>11</v>
      </c>
      <c r="AM1" s="12">
        <v>12</v>
      </c>
      <c r="AN1" s="13">
        <v>13</v>
      </c>
      <c r="AT1" s="16" t="s">
        <v>95</v>
      </c>
      <c r="AU1" s="16">
        <f>COUNTA(AU2:AU51)</f>
        <v>50</v>
      </c>
      <c r="AV1" s="16">
        <f>COUNTA(AV2:AV51)</f>
        <v>50</v>
      </c>
    </row>
    <row r="2" spans="1:62" ht="15.75" thickBot="1" x14ac:dyDescent="0.3">
      <c r="A2">
        <v>1</v>
      </c>
      <c r="B2" s="14">
        <f>COUNTIF($AB$2:$AN$16,A2)</f>
        <v>7</v>
      </c>
      <c r="C2">
        <f>COUNTIF(Tables!$AA$2:$AA$17,A2)</f>
        <v>0</v>
      </c>
      <c r="D2">
        <f>COUNTIF($BC$4:$BJ$16,A2)</f>
        <v>0</v>
      </c>
      <c r="E2">
        <f t="shared" ref="E2:E14" si="0">COUNTIF($AU$2:$AU$51,A2)</f>
        <v>1</v>
      </c>
      <c r="F2" s="33">
        <f t="shared" ref="F2:F14" si="1">SUM(B2:D2)</f>
        <v>7</v>
      </c>
      <c r="AA2" s="7">
        <v>1</v>
      </c>
      <c r="AB2" s="1">
        <f>IF(ISBLANK(Tables!K2),"",VLOOKUP(Tables!K2,Tables!$AX$2:$BA$53,3,0))</f>
        <v>5</v>
      </c>
      <c r="AC2" s="2">
        <f>IF(ISBLANK(Tables!L2),"",VLOOKUP(Tables!L2,Tables!$AX$2:$BA$53,3,0))</f>
        <v>10</v>
      </c>
      <c r="AD2" s="2">
        <f>IF(ISBLANK(Tables!M2),"",VLOOKUP(Tables!M2,Tables!$AX$2:$BA$53,3,0))</f>
        <v>7</v>
      </c>
      <c r="AE2" s="2">
        <f>IF(ISBLANK(Tables!N2),"",VLOOKUP(Tables!N2,Tables!$AX$2:$BA$53,3,0))</f>
        <v>1</v>
      </c>
      <c r="AF2" s="2">
        <f>IF(ISBLANK(Tables!O2),"",VLOOKUP(Tables!O2,Tables!$AX$2:$BA$53,3,0))</f>
        <v>13</v>
      </c>
      <c r="AG2" s="2">
        <f>IF(ISBLANK(Tables!P2),"",VLOOKUP(Tables!P2,Tables!$AX$2:$BA$53,3,0))</f>
        <v>13</v>
      </c>
      <c r="AH2" s="2">
        <f>IF(ISBLANK(Tables!Q2),"",VLOOKUP(Tables!Q2,Tables!$AX$2:$BA$53,3,0))</f>
        <v>10</v>
      </c>
      <c r="AI2" s="2">
        <f>IF(ISBLANK(Tables!R2),"",VLOOKUP(Tables!R2,Tables!$AX$2:$BA$53,3,0))</f>
        <v>12</v>
      </c>
      <c r="AJ2" s="2">
        <f>IF(ISBLANK(Tables!S2),"",VLOOKUP(Tables!S2,Tables!$AX$2:$BA$53,3,0))</f>
        <v>9</v>
      </c>
      <c r="AK2" s="2">
        <f>IF(ISBLANK(Tables!T2),"",VLOOKUP(Tables!T2,Tables!$AX$2:$BA$53,3,0))</f>
        <v>7</v>
      </c>
      <c r="AL2" s="2">
        <f>IF(ISBLANK(Tables!U2),"",VLOOKUP(Tables!U2,Tables!$AX$2:$BA$53,3,0))</f>
        <v>9</v>
      </c>
      <c r="AM2" s="2">
        <f>IF(ISBLANK(Tables!V2),"",VLOOKUP(Tables!V2,Tables!$AX$2:$BA$53,3,0))</f>
        <v>2</v>
      </c>
      <c r="AN2" s="3">
        <f>IF(ISBLANK(Tables!W2),"",VLOOKUP(Tables!W2,Tables!$AX$2:$BA$53,3,0))</f>
        <v>13</v>
      </c>
      <c r="AT2" s="7">
        <v>1</v>
      </c>
      <c r="AU2" s="7">
        <f>IF(ISBLANK(Tables!H2),"",VLOOKUP(Tables!H2,Tables!$AX$2:$BA$53,3,0))</f>
        <v>2</v>
      </c>
      <c r="AV2" s="7" t="str">
        <f>IF(ISBLANK(Tables!H2),"",VLOOKUP(Tables!H2,Tables!$AX$2:$BA$53,4,0))</f>
        <v>♦</v>
      </c>
      <c r="BB2" s="316" t="s">
        <v>96</v>
      </c>
      <c r="BC2" s="313" t="s">
        <v>103</v>
      </c>
      <c r="BD2" s="314"/>
      <c r="BE2" s="314"/>
      <c r="BF2" s="315"/>
      <c r="BG2" s="313" t="s">
        <v>104</v>
      </c>
      <c r="BH2" s="314"/>
      <c r="BI2" s="314"/>
      <c r="BJ2" s="315"/>
    </row>
    <row r="3" spans="1:62" ht="15.75" thickBot="1" x14ac:dyDescent="0.3">
      <c r="A3">
        <v>2</v>
      </c>
      <c r="B3" s="14">
        <f t="shared" ref="B3:B14" si="2">COUNTIF($AB$2:$AN$16,A3)</f>
        <v>5</v>
      </c>
      <c r="C3">
        <f>COUNTIF(Tables!$AA$2:$AA$17,A3)</f>
        <v>0</v>
      </c>
      <c r="D3">
        <f t="shared" ref="D3:D14" si="3">COUNTIF($BC$4:$BJ$16,A3)</f>
        <v>0</v>
      </c>
      <c r="E3">
        <f t="shared" si="0"/>
        <v>3</v>
      </c>
      <c r="F3" s="33">
        <f t="shared" si="1"/>
        <v>5</v>
      </c>
      <c r="AA3" s="10">
        <v>2</v>
      </c>
      <c r="AB3" s="14">
        <f>IF(ISBLANK(Tables!K3),"",VLOOKUP(Tables!K3,Tables!$AX$2:$BA$53,3,0))</f>
        <v>5</v>
      </c>
      <c r="AC3">
        <f>IF(ISBLANK(Tables!L3),"",VLOOKUP(Tables!L3,Tables!$AX$2:$BA$53,3,0))</f>
        <v>4</v>
      </c>
      <c r="AD3">
        <f>IF(ISBLANK(Tables!M3),"",VLOOKUP(Tables!M3,Tables!$AX$2:$BA$53,3,0))</f>
        <v>5</v>
      </c>
      <c r="AE3">
        <f>IF(ISBLANK(Tables!N3),"",VLOOKUP(Tables!N3,Tables!$AX$2:$BA$53,3,0))</f>
        <v>8</v>
      </c>
      <c r="AF3">
        <f>IF(ISBLANK(Tables!O3),"",VLOOKUP(Tables!O3,Tables!$AX$2:$BA$53,3,0))</f>
        <v>11</v>
      </c>
      <c r="AG3">
        <f>IF(ISBLANK(Tables!P3),"",VLOOKUP(Tables!P3,Tables!$AX$2:$BA$53,3,0))</f>
        <v>7</v>
      </c>
      <c r="AH3">
        <f>IF(ISBLANK(Tables!Q3),"",VLOOKUP(Tables!Q3,Tables!$AX$2:$BA$53,3,0))</f>
        <v>1</v>
      </c>
      <c r="AI3">
        <f>IF(ISBLANK(Tables!R3),"",VLOOKUP(Tables!R3,Tables!$AX$2:$BA$53,3,0))</f>
        <v>8</v>
      </c>
      <c r="AJ3">
        <f>IF(ISBLANK(Tables!S3),"",VLOOKUP(Tables!S3,Tables!$AX$2:$BA$53,3,0))</f>
        <v>1</v>
      </c>
      <c r="AK3">
        <f>IF(ISBLANK(Tables!T3),"",VLOOKUP(Tables!T3,Tables!$AX$2:$BA$53,3,0))</f>
        <v>3</v>
      </c>
      <c r="AL3">
        <f>IF(ISBLANK(Tables!U3),"",VLOOKUP(Tables!U3,Tables!$AX$2:$BA$53,3,0))</f>
        <v>5</v>
      </c>
      <c r="AM3">
        <f>IF(ISBLANK(Tables!V3),"",VLOOKUP(Tables!V3,Tables!$AX$2:$BA$53,3,0))</f>
        <v>10</v>
      </c>
      <c r="AN3" s="15">
        <f>IF(ISBLANK(Tables!W3),"",VLOOKUP(Tables!W3,Tables!$AX$2:$BA$53,3,0))</f>
        <v>2</v>
      </c>
      <c r="AT3" s="10">
        <v>2</v>
      </c>
      <c r="AU3" s="10">
        <f>IF(ISBLANK(Tables!H3),"",VLOOKUP(Tables!H3,Tables!$AX$2:$BA$53,3,0))</f>
        <v>3</v>
      </c>
      <c r="AV3" s="10" t="str">
        <f>IF(ISBLANK(Tables!H3),"",VLOOKUP(Tables!H3,Tables!$AX$2:$BA$53,4,0))</f>
        <v>♠</v>
      </c>
      <c r="BB3" s="317"/>
      <c r="BC3" s="163" t="s">
        <v>14</v>
      </c>
      <c r="BD3" s="164" t="s">
        <v>15</v>
      </c>
      <c r="BE3" s="165" t="s">
        <v>17</v>
      </c>
      <c r="BF3" s="166" t="s">
        <v>16</v>
      </c>
      <c r="BG3" s="165" t="s">
        <v>14</v>
      </c>
      <c r="BH3" s="164" t="s">
        <v>15</v>
      </c>
      <c r="BI3" s="165" t="s">
        <v>17</v>
      </c>
      <c r="BJ3" s="166" t="s">
        <v>16</v>
      </c>
    </row>
    <row r="4" spans="1:62" x14ac:dyDescent="0.25">
      <c r="A4">
        <v>3</v>
      </c>
      <c r="B4" s="14">
        <f t="shared" si="2"/>
        <v>5</v>
      </c>
      <c r="C4">
        <f>COUNTIF(Tables!$AA$2:$AA$17,A4)</f>
        <v>0</v>
      </c>
      <c r="D4">
        <f t="shared" si="3"/>
        <v>0</v>
      </c>
      <c r="E4">
        <f t="shared" si="0"/>
        <v>3</v>
      </c>
      <c r="F4" s="33">
        <f t="shared" si="1"/>
        <v>5</v>
      </c>
      <c r="AA4" s="10">
        <v>3</v>
      </c>
      <c r="AB4" s="14">
        <f>IF(ISBLANK(Tables!K4),"",VLOOKUP(Tables!K4,Tables!$AX$2:$BA$53,3,0))</f>
        <v>4</v>
      </c>
      <c r="AC4">
        <f>IF(ISBLANK(Tables!L4),"",VLOOKUP(Tables!L4,Tables!$AX$2:$BA$53,3,0))</f>
        <v>6</v>
      </c>
      <c r="AD4">
        <f>IF(ISBLANK(Tables!M4),"",VLOOKUP(Tables!M4,Tables!$AX$2:$BA$53,3,0))</f>
        <v>11</v>
      </c>
      <c r="AE4">
        <f>IF(ISBLANK(Tables!N4),"",VLOOKUP(Tables!N4,Tables!$AX$2:$BA$53,3,0))</f>
        <v>7</v>
      </c>
      <c r="AF4">
        <f>IF(ISBLANK(Tables!O4),"",VLOOKUP(Tables!O4,Tables!$AX$2:$BA$53,3,0))</f>
        <v>12</v>
      </c>
      <c r="AG4">
        <f>IF(ISBLANK(Tables!P4),"",VLOOKUP(Tables!P4,Tables!$AX$2:$BA$53,3,0))</f>
        <v>8</v>
      </c>
      <c r="AH4">
        <f>IF(ISBLANK(Tables!Q4),"",VLOOKUP(Tables!Q4,Tables!$AX$2:$BA$53,3,0))</f>
        <v>6</v>
      </c>
      <c r="AI4">
        <f>IF(ISBLANK(Tables!R4),"",VLOOKUP(Tables!R4,Tables!$AX$2:$BA$53,3,0))</f>
        <v>12</v>
      </c>
      <c r="AJ4">
        <f>IF(ISBLANK(Tables!S4),"",VLOOKUP(Tables!S4,Tables!$AX$2:$BA$53,3,0))</f>
        <v>9</v>
      </c>
      <c r="AK4">
        <f>IF(ISBLANK(Tables!T4),"",VLOOKUP(Tables!T4,Tables!$AX$2:$BA$53,3,0))</f>
        <v>3</v>
      </c>
      <c r="AL4">
        <f>IF(ISBLANK(Tables!U4),"",VLOOKUP(Tables!U4,Tables!$AX$2:$BA$53,3,0))</f>
        <v>1</v>
      </c>
      <c r="AM4">
        <f>IF(ISBLANK(Tables!V4),"",VLOOKUP(Tables!V4,Tables!$AX$2:$BA$53,3,0))</f>
        <v>11</v>
      </c>
      <c r="AN4" s="15">
        <f>IF(ISBLANK(Tables!W4),"",VLOOKUP(Tables!W4,Tables!$AX$2:$BA$53,3,0))</f>
        <v>12</v>
      </c>
      <c r="AT4" s="10">
        <v>3</v>
      </c>
      <c r="AU4" s="10">
        <f>IF(ISBLANK(Tables!H4),"",VLOOKUP(Tables!H4,Tables!$AX$2:$BA$53,3,0))</f>
        <v>7</v>
      </c>
      <c r="AV4" s="10" t="str">
        <f>IF(ISBLANK(Tables!H4),"",VLOOKUP(Tables!H4,Tables!$AX$2:$BA$53,4,0))</f>
        <v>♠</v>
      </c>
      <c r="BB4" s="161">
        <v>1</v>
      </c>
      <c r="BC4" s="135" t="str">
        <f>IF(ISBLANK(Tables!AF2),"",VLOOKUP(Tables!AF2,Tables!$AX$2:$BA$53,3,0))</f>
        <v/>
      </c>
      <c r="BD4" s="8" t="str">
        <f>IF(ISBLANK(Tables!AG2),"",VLOOKUP(Tables!AG2,Tables!$AX$2:$BA$53,3,0))</f>
        <v/>
      </c>
      <c r="BE4" s="8" t="str">
        <f>IF(ISBLANK(Tables!AH2),"",VLOOKUP(Tables!AH2,Tables!$AX$2:$BA$53,3,0))</f>
        <v/>
      </c>
      <c r="BF4" s="162" t="str">
        <f>IF(ISBLANK(Tables!AI2),"",VLOOKUP(Tables!AI2,Tables!$AX$2:$BA$53,3,0))</f>
        <v/>
      </c>
      <c r="BG4" s="8" t="str">
        <f>IF(ISBLANK(Tables!AL2),"",VLOOKUP(Tables!AL2,Tables!$AX$2:$BA$53,3,0))</f>
        <v/>
      </c>
      <c r="BH4" s="8" t="str">
        <f>IF(ISBLANK(Tables!AM2),"",VLOOKUP(Tables!AM2,Tables!$AX$2:$BA$53,3,0))</f>
        <v/>
      </c>
      <c r="BI4" s="8" t="str">
        <f>IF(ISBLANK(Tables!AN2),"",VLOOKUP(Tables!AN2,Tables!$AX$2:$BA$53,3,0))</f>
        <v/>
      </c>
      <c r="BJ4" s="162" t="str">
        <f>IF(ISBLANK(Tables!AO2),"",VLOOKUP(Tables!AO2,Tables!$AX$2:$BA$53,3,0))</f>
        <v/>
      </c>
    </row>
    <row r="5" spans="1:62" x14ac:dyDescent="0.25">
      <c r="A5">
        <v>4</v>
      </c>
      <c r="B5" s="14">
        <f t="shared" si="2"/>
        <v>6</v>
      </c>
      <c r="C5">
        <f>COUNTIF(Tables!$AA$2:$AA$17,A5)</f>
        <v>0</v>
      </c>
      <c r="D5">
        <f t="shared" si="3"/>
        <v>0</v>
      </c>
      <c r="E5">
        <f t="shared" si="0"/>
        <v>2</v>
      </c>
      <c r="F5" s="33">
        <f t="shared" si="1"/>
        <v>6</v>
      </c>
      <c r="AA5" s="10">
        <v>4</v>
      </c>
      <c r="AB5" s="14">
        <f>IF(ISBLANK(Tables!K5),"",VLOOKUP(Tables!K5,Tables!$AX$2:$BA$53,3,0))</f>
        <v>11</v>
      </c>
      <c r="AC5">
        <f>IF(ISBLANK(Tables!L5),"",VLOOKUP(Tables!L5,Tables!$AX$2:$BA$53,3,0))</f>
        <v>9</v>
      </c>
      <c r="AD5">
        <f>IF(ISBLANK(Tables!M5),"",VLOOKUP(Tables!M5,Tables!$AX$2:$BA$53,3,0))</f>
        <v>1</v>
      </c>
      <c r="AE5">
        <f>IF(ISBLANK(Tables!N5),"",VLOOKUP(Tables!N5,Tables!$AX$2:$BA$53,3,0))</f>
        <v>3</v>
      </c>
      <c r="AF5">
        <f>IF(ISBLANK(Tables!O5),"",VLOOKUP(Tables!O5,Tables!$AX$2:$BA$53,3,0))</f>
        <v>12</v>
      </c>
      <c r="AG5">
        <f>IF(ISBLANK(Tables!P5),"",VLOOKUP(Tables!P5,Tables!$AX$2:$BA$53,3,0))</f>
        <v>3</v>
      </c>
      <c r="AH5">
        <f>IF(ISBLANK(Tables!Q5),"",VLOOKUP(Tables!Q5,Tables!$AX$2:$BA$53,3,0))</f>
        <v>9</v>
      </c>
      <c r="AI5">
        <f>IF(ISBLANK(Tables!R5),"",VLOOKUP(Tables!R5,Tables!$AX$2:$BA$53,3,0))</f>
        <v>11</v>
      </c>
      <c r="AJ5">
        <f>IF(ISBLANK(Tables!S5),"",VLOOKUP(Tables!S5,Tables!$AX$2:$BA$53,3,0))</f>
        <v>2</v>
      </c>
      <c r="AK5">
        <f>IF(ISBLANK(Tables!T5),"",VLOOKUP(Tables!T5,Tables!$AX$2:$BA$53,3,0))</f>
        <v>13</v>
      </c>
      <c r="AL5">
        <f>IF(ISBLANK(Tables!U5),"",VLOOKUP(Tables!U5,Tables!$AX$2:$BA$53,3,0))</f>
        <v>6</v>
      </c>
      <c r="AM5">
        <f>IF(ISBLANK(Tables!V5),"",VLOOKUP(Tables!V5,Tables!$AX$2:$BA$53,3,0))</f>
        <v>9</v>
      </c>
      <c r="AN5" s="15">
        <f>IF(ISBLANK(Tables!W5),"",VLOOKUP(Tables!W5,Tables!$AX$2:$BA$53,3,0))</f>
        <v>5</v>
      </c>
      <c r="AT5" s="10">
        <v>4</v>
      </c>
      <c r="AU5" s="10">
        <f>IF(ISBLANK(Tables!H5),"",VLOOKUP(Tables!H5,Tables!$AX$2:$BA$53,3,0))</f>
        <v>8</v>
      </c>
      <c r="AV5" s="10" t="str">
        <f>IF(ISBLANK(Tables!H5),"",VLOOKUP(Tables!H5,Tables!$AX$2:$BA$53,4,0))</f>
        <v>♥</v>
      </c>
      <c r="BB5" s="137">
        <v>2</v>
      </c>
      <c r="BC5" s="112" t="str">
        <f>IF(ISBLANK(Tables!AF3),"",VLOOKUP(Tables!AF3,Tables!$AX$2:$BA$53,3,0))</f>
        <v/>
      </c>
      <c r="BD5" s="16" t="str">
        <f>IF(ISBLANK(Tables!AG3),"",VLOOKUP(Tables!AG3,Tables!$AX$2:$BA$53,3,0))</f>
        <v/>
      </c>
      <c r="BE5" s="16" t="str">
        <f>IF(ISBLANK(Tables!AH3),"",VLOOKUP(Tables!AH3,Tables!$AX$2:$BA$53,3,0))</f>
        <v/>
      </c>
      <c r="BF5" s="113" t="str">
        <f>IF(ISBLANK(Tables!AI3),"",VLOOKUP(Tables!AI3,Tables!$AX$2:$BA$53,3,0))</f>
        <v/>
      </c>
      <c r="BG5" s="16" t="str">
        <f>IF(ISBLANK(Tables!AL3),"",VLOOKUP(Tables!AL3,Tables!$AX$2:$BA$53,3,0))</f>
        <v/>
      </c>
      <c r="BH5" s="16" t="str">
        <f>IF(ISBLANK(Tables!AM3),"",VLOOKUP(Tables!AM3,Tables!$AX$2:$BA$53,3,0))</f>
        <v/>
      </c>
      <c r="BI5" s="16" t="str">
        <f>IF(ISBLANK(Tables!AN3),"",VLOOKUP(Tables!AN3,Tables!$AX$2:$BA$53,3,0))</f>
        <v/>
      </c>
      <c r="BJ5" s="113" t="str">
        <f>IF(ISBLANK(Tables!AO3),"",VLOOKUP(Tables!AO3,Tables!$AX$2:$BA$53,3,0))</f>
        <v/>
      </c>
    </row>
    <row r="6" spans="1:62" x14ac:dyDescent="0.25">
      <c r="A6">
        <v>5</v>
      </c>
      <c r="B6" s="14">
        <f t="shared" si="2"/>
        <v>7</v>
      </c>
      <c r="C6">
        <f>COUNTIF(Tables!$AA$2:$AA$17,A6)</f>
        <v>0</v>
      </c>
      <c r="D6">
        <f t="shared" si="3"/>
        <v>0</v>
      </c>
      <c r="E6">
        <f t="shared" si="0"/>
        <v>1</v>
      </c>
      <c r="F6" s="33">
        <f t="shared" si="1"/>
        <v>7</v>
      </c>
      <c r="AA6" s="10">
        <v>5</v>
      </c>
      <c r="AB6" s="14">
        <f>IF(ISBLANK(Tables!K6),"",VLOOKUP(Tables!K6,Tables!$AX$2:$BA$53,3,0))</f>
        <v>10</v>
      </c>
      <c r="AC6">
        <f>IF(ISBLANK(Tables!L6),"",VLOOKUP(Tables!L6,Tables!$AX$2:$BA$53,3,0))</f>
        <v>1</v>
      </c>
      <c r="AD6">
        <f>IF(ISBLANK(Tables!M6),"",VLOOKUP(Tables!M6,Tables!$AX$2:$BA$53,3,0))</f>
        <v>13</v>
      </c>
      <c r="AE6">
        <f>IF(ISBLANK(Tables!N6),"",VLOOKUP(Tables!N6,Tables!$AX$2:$BA$53,3,0))</f>
        <v>7</v>
      </c>
      <c r="AF6">
        <f>IF(ISBLANK(Tables!O6),"",VLOOKUP(Tables!O6,Tables!$AX$2:$BA$53,3,0))</f>
        <v>6</v>
      </c>
      <c r="AG6">
        <f>IF(ISBLANK(Tables!P6),"",VLOOKUP(Tables!P6,Tables!$AX$2:$BA$53,3,0))</f>
        <v>2</v>
      </c>
      <c r="AH6">
        <f>IF(ISBLANK(Tables!Q6),"",VLOOKUP(Tables!Q6,Tables!$AX$2:$BA$53,3,0))</f>
        <v>10</v>
      </c>
      <c r="AI6">
        <f>IF(ISBLANK(Tables!R6),"",VLOOKUP(Tables!R6,Tables!$AX$2:$BA$53,3,0))</f>
        <v>4</v>
      </c>
      <c r="AJ6">
        <f>IF(ISBLANK(Tables!S6),"",VLOOKUP(Tables!S6,Tables!$AX$2:$BA$53,3,0))</f>
        <v>5</v>
      </c>
      <c r="AK6">
        <f>IF(ISBLANK(Tables!T6),"",VLOOKUP(Tables!T6,Tables!$AX$2:$BA$53,3,0))</f>
        <v>11</v>
      </c>
      <c r="AL6">
        <f>IF(ISBLANK(Tables!U6),"",VLOOKUP(Tables!U6,Tables!$AX$2:$BA$53,3,0))</f>
        <v>13</v>
      </c>
      <c r="AM6">
        <f>IF(ISBLANK(Tables!V6),"",VLOOKUP(Tables!V6,Tables!$AX$2:$BA$53,3,0))</f>
        <v>8</v>
      </c>
      <c r="AN6" s="15">
        <f>IF(ISBLANK(Tables!W6),"",VLOOKUP(Tables!W6,Tables!$AX$2:$BA$53,3,0))</f>
        <v>6</v>
      </c>
      <c r="AT6" s="10">
        <v>5</v>
      </c>
      <c r="AU6" s="10">
        <f>IF(ISBLANK(Tables!H6),"",VLOOKUP(Tables!H6,Tables!$AX$2:$BA$53,3,0))</f>
        <v>10</v>
      </c>
      <c r="AV6" s="10" t="str">
        <f>IF(ISBLANK(Tables!H6),"",VLOOKUP(Tables!H6,Tables!$AX$2:$BA$53,4,0))</f>
        <v>♣</v>
      </c>
      <c r="BB6" s="137">
        <v>3</v>
      </c>
      <c r="BC6" s="112" t="str">
        <f>IF(ISBLANK(Tables!AF4),"",VLOOKUP(Tables!AF4,Tables!$AX$2:$BA$53,3,0))</f>
        <v/>
      </c>
      <c r="BD6" s="16" t="str">
        <f>IF(ISBLANK(Tables!AG4),"",VLOOKUP(Tables!AG4,Tables!$AX$2:$BA$53,3,0))</f>
        <v/>
      </c>
      <c r="BE6" s="16" t="str">
        <f>IF(ISBLANK(Tables!AH4),"",VLOOKUP(Tables!AH4,Tables!$AX$2:$BA$53,3,0))</f>
        <v/>
      </c>
      <c r="BF6" s="113" t="str">
        <f>IF(ISBLANK(Tables!AI4),"",VLOOKUP(Tables!AI4,Tables!$AX$2:$BA$53,3,0))</f>
        <v/>
      </c>
      <c r="BG6" s="16" t="str">
        <f>IF(ISBLANK(Tables!AL4),"",VLOOKUP(Tables!AL4,Tables!$AX$2:$BA$53,3,0))</f>
        <v/>
      </c>
      <c r="BH6" s="16" t="str">
        <f>IF(ISBLANK(Tables!AM4),"",VLOOKUP(Tables!AM4,Tables!$AX$2:$BA$53,3,0))</f>
        <v/>
      </c>
      <c r="BI6" s="16" t="str">
        <f>IF(ISBLANK(Tables!AN4),"",VLOOKUP(Tables!AN4,Tables!$AX$2:$BA$53,3,0))</f>
        <v/>
      </c>
      <c r="BJ6" s="113" t="str">
        <f>IF(ISBLANK(Tables!AO4),"",VLOOKUP(Tables!AO4,Tables!$AX$2:$BA$53,3,0))</f>
        <v/>
      </c>
    </row>
    <row r="7" spans="1:62" x14ac:dyDescent="0.25">
      <c r="A7">
        <v>6</v>
      </c>
      <c r="B7" s="14">
        <f t="shared" si="2"/>
        <v>6</v>
      </c>
      <c r="C7">
        <f>COUNTIF(Tables!$AA$2:$AA$17,A7)</f>
        <v>0</v>
      </c>
      <c r="D7">
        <f t="shared" si="3"/>
        <v>0</v>
      </c>
      <c r="E7">
        <f t="shared" si="0"/>
        <v>2</v>
      </c>
      <c r="F7" s="33">
        <f t="shared" si="1"/>
        <v>6</v>
      </c>
      <c r="AA7" s="10">
        <v>6</v>
      </c>
      <c r="AB7" s="14">
        <f>IF(ISBLANK(Tables!K7),"",VLOOKUP(Tables!K7,Tables!$AX$2:$BA$53,3,0))</f>
        <v>8</v>
      </c>
      <c r="AC7">
        <f>IF(ISBLANK(Tables!L7),"",VLOOKUP(Tables!L7,Tables!$AX$2:$BA$53,3,0))</f>
        <v>8</v>
      </c>
      <c r="AD7">
        <f>IF(ISBLANK(Tables!M7),"",VLOOKUP(Tables!M7,Tables!$AX$2:$BA$53,3,0))</f>
        <v>3</v>
      </c>
      <c r="AE7">
        <f>IF(ISBLANK(Tables!N7),"",VLOOKUP(Tables!N7,Tables!$AX$2:$BA$53,3,0))</f>
        <v>9</v>
      </c>
      <c r="AF7">
        <f>IF(ISBLANK(Tables!O7),"",VLOOKUP(Tables!O7,Tables!$AX$2:$BA$53,3,0))</f>
        <v>1</v>
      </c>
      <c r="AG7">
        <f>IF(ISBLANK(Tables!P7),"",VLOOKUP(Tables!P7,Tables!$AX$2:$BA$53,3,0))</f>
        <v>13</v>
      </c>
      <c r="AH7">
        <f>IF(ISBLANK(Tables!Q7),"",VLOOKUP(Tables!Q7,Tables!$AX$2:$BA$53,3,0))</f>
        <v>2</v>
      </c>
      <c r="AI7">
        <f>IF(ISBLANK(Tables!R7),"",VLOOKUP(Tables!R7,Tables!$AX$2:$BA$53,3,0))</f>
        <v>6</v>
      </c>
      <c r="AJ7">
        <f>IF(ISBLANK(Tables!S7),"",VLOOKUP(Tables!S7,Tables!$AX$2:$BA$53,3,0))</f>
        <v>4</v>
      </c>
      <c r="AK7">
        <f>IF(ISBLANK(Tables!T7),"",VLOOKUP(Tables!T7,Tables!$AX$2:$BA$53,3,0))</f>
        <v>8</v>
      </c>
      <c r="AL7">
        <f>IF(ISBLANK(Tables!U7),"",VLOOKUP(Tables!U7,Tables!$AX$2:$BA$53,3,0))</f>
        <v>12</v>
      </c>
      <c r="AM7">
        <f>IF(ISBLANK(Tables!V7),"",VLOOKUP(Tables!V7,Tables!$AX$2:$BA$53,3,0))</f>
        <v>4</v>
      </c>
      <c r="AN7" s="15">
        <f>IF(ISBLANK(Tables!W7),"",VLOOKUP(Tables!W7,Tables!$AX$2:$BA$53,3,0))</f>
        <v>5</v>
      </c>
      <c r="AT7" s="10">
        <v>6</v>
      </c>
      <c r="AU7" s="10">
        <f>IF(ISBLANK(Tables!H7),"",VLOOKUP(Tables!H7,Tables!$AX$2:$BA$53,3,0))</f>
        <v>11</v>
      </c>
      <c r="AV7" s="10" t="str">
        <f>IF(ISBLANK(Tables!H7),"",VLOOKUP(Tables!H7,Tables!$AX$2:$BA$53,4,0))</f>
        <v>♣</v>
      </c>
      <c r="BB7" s="137">
        <v>4</v>
      </c>
      <c r="BC7" s="112" t="str">
        <f>IF(ISBLANK(Tables!AF5),"",VLOOKUP(Tables!AF5,Tables!$AX$2:$BA$53,3,0))</f>
        <v/>
      </c>
      <c r="BD7" s="16" t="str">
        <f>IF(ISBLANK(Tables!AG5),"",VLOOKUP(Tables!AG5,Tables!$AX$2:$BA$53,3,0))</f>
        <v/>
      </c>
      <c r="BE7" s="16" t="str">
        <f>IF(ISBLANK(Tables!AH5),"",VLOOKUP(Tables!AH5,Tables!$AX$2:$BA$53,3,0))</f>
        <v/>
      </c>
      <c r="BF7" s="113" t="str">
        <f>IF(ISBLANK(Tables!AI5),"",VLOOKUP(Tables!AI5,Tables!$AX$2:$BA$53,3,0))</f>
        <v/>
      </c>
      <c r="BG7" s="16" t="str">
        <f>IF(ISBLANK(Tables!AL5),"",VLOOKUP(Tables!AL5,Tables!$AX$2:$BA$53,3,0))</f>
        <v/>
      </c>
      <c r="BH7" s="16" t="str">
        <f>IF(ISBLANK(Tables!AM5),"",VLOOKUP(Tables!AM5,Tables!$AX$2:$BA$53,3,0))</f>
        <v/>
      </c>
      <c r="BI7" s="16" t="str">
        <f>IF(ISBLANK(Tables!AN5),"",VLOOKUP(Tables!AN5,Tables!$AX$2:$BA$53,3,0))</f>
        <v/>
      </c>
      <c r="BJ7" s="113" t="str">
        <f>IF(ISBLANK(Tables!AO5),"",VLOOKUP(Tables!AO5,Tables!$AX$2:$BA$53,3,0))</f>
        <v/>
      </c>
    </row>
    <row r="8" spans="1:62" x14ac:dyDescent="0.25">
      <c r="A8">
        <v>7</v>
      </c>
      <c r="B8" s="14">
        <f t="shared" si="2"/>
        <v>5</v>
      </c>
      <c r="C8">
        <f>COUNTIF(Tables!$AA$2:$AA$17,A8)</f>
        <v>0</v>
      </c>
      <c r="D8">
        <f t="shared" si="3"/>
        <v>0</v>
      </c>
      <c r="E8">
        <f t="shared" si="0"/>
        <v>3</v>
      </c>
      <c r="F8" s="33">
        <f t="shared" si="1"/>
        <v>5</v>
      </c>
      <c r="AA8" s="10">
        <v>7</v>
      </c>
      <c r="AB8" s="14">
        <f>IF(ISBLANK(Tables!K8),"",VLOOKUP(Tables!K8,Tables!$AX$2:$BA$53,3,0))</f>
        <v>9</v>
      </c>
      <c r="AC8">
        <f>IF(ISBLANK(Tables!L8),"",VLOOKUP(Tables!L8,Tables!$AX$2:$BA$53,3,0))</f>
        <v>12</v>
      </c>
      <c r="AD8">
        <f>IF(ISBLANK(Tables!M8),"",VLOOKUP(Tables!M8,Tables!$AX$2:$BA$53,3,0))</f>
        <v>4</v>
      </c>
      <c r="AE8" t="str">
        <f>IF(ISBLANK(Tables!N8),"",VLOOKUP(Tables!N8,Tables!$AX$2:$BA$53,3,0))</f>
        <v/>
      </c>
      <c r="AF8" t="str">
        <f>IF(ISBLANK(Tables!O8),"",VLOOKUP(Tables!O8,Tables!$AX$2:$BA$53,3,0))</f>
        <v/>
      </c>
      <c r="AG8" t="str">
        <f>IF(ISBLANK(Tables!P8),"",VLOOKUP(Tables!P8,Tables!$AX$2:$BA$53,3,0))</f>
        <v/>
      </c>
      <c r="AH8" t="str">
        <f>IF(ISBLANK(Tables!Q8),"",VLOOKUP(Tables!Q8,Tables!$AX$2:$BA$53,3,0))</f>
        <v/>
      </c>
      <c r="AI8" t="str">
        <f>IF(ISBLANK(Tables!R8),"",VLOOKUP(Tables!R8,Tables!$AX$2:$BA$53,3,0))</f>
        <v/>
      </c>
      <c r="AJ8" t="str">
        <f>IF(ISBLANK(Tables!S8),"",VLOOKUP(Tables!S8,Tables!$AX$2:$BA$53,3,0))</f>
        <v/>
      </c>
      <c r="AK8" t="str">
        <f>IF(ISBLANK(Tables!T8),"",VLOOKUP(Tables!T8,Tables!$AX$2:$BA$53,3,0))</f>
        <v/>
      </c>
      <c r="AL8" t="str">
        <f>IF(ISBLANK(Tables!U8),"",VLOOKUP(Tables!U8,Tables!$AX$2:$BA$53,3,0))</f>
        <v/>
      </c>
      <c r="AM8" t="str">
        <f>IF(ISBLANK(Tables!V8),"",VLOOKUP(Tables!V8,Tables!$AX$2:$BA$53,3,0))</f>
        <v/>
      </c>
      <c r="AN8" s="15" t="str">
        <f>IF(ISBLANK(Tables!W8),"",VLOOKUP(Tables!W8,Tables!$AX$2:$BA$53,3,0))</f>
        <v/>
      </c>
      <c r="AT8" s="10">
        <v>7</v>
      </c>
      <c r="AU8" s="10">
        <f>IF(ISBLANK(Tables!H8),"",VLOOKUP(Tables!H8,Tables!$AX$2:$BA$53,3,0))</f>
        <v>6</v>
      </c>
      <c r="AV8" s="10" t="str">
        <f>IF(ISBLANK(Tables!H8),"",VLOOKUP(Tables!H8,Tables!$AX$2:$BA$53,4,0))</f>
        <v>♥</v>
      </c>
      <c r="BB8" s="137">
        <v>5</v>
      </c>
      <c r="BC8" s="112" t="str">
        <f>IF(ISBLANK(Tables!AF6),"",VLOOKUP(Tables!AF6,Tables!$AX$2:$BA$53,3,0))</f>
        <v/>
      </c>
      <c r="BD8" s="16" t="str">
        <f>IF(ISBLANK(Tables!AG6),"",VLOOKUP(Tables!AG6,Tables!$AX$2:$BA$53,3,0))</f>
        <v/>
      </c>
      <c r="BE8" s="16" t="str">
        <f>IF(ISBLANK(Tables!AH6),"",VLOOKUP(Tables!AH6,Tables!$AX$2:$BA$53,3,0))</f>
        <v/>
      </c>
      <c r="BF8" s="113" t="str">
        <f>IF(ISBLANK(Tables!AI6),"",VLOOKUP(Tables!AI6,Tables!$AX$2:$BA$53,3,0))</f>
        <v/>
      </c>
      <c r="BG8" s="16" t="str">
        <f>IF(ISBLANK(Tables!AL6),"",VLOOKUP(Tables!AL6,Tables!$AX$2:$BA$53,3,0))</f>
        <v/>
      </c>
      <c r="BH8" s="16" t="str">
        <f>IF(ISBLANK(Tables!AM6),"",VLOOKUP(Tables!AM6,Tables!$AX$2:$BA$53,3,0))</f>
        <v/>
      </c>
      <c r="BI8" s="16" t="str">
        <f>IF(ISBLANK(Tables!AN6),"",VLOOKUP(Tables!AN6,Tables!$AX$2:$BA$53,3,0))</f>
        <v/>
      </c>
      <c r="BJ8" s="113" t="str">
        <f>IF(ISBLANK(Tables!AO6),"",VLOOKUP(Tables!AO6,Tables!$AX$2:$BA$53,3,0))</f>
        <v/>
      </c>
    </row>
    <row r="9" spans="1:62" x14ac:dyDescent="0.25">
      <c r="A9">
        <v>8</v>
      </c>
      <c r="B9" s="14">
        <f t="shared" si="2"/>
        <v>7</v>
      </c>
      <c r="C9">
        <f>COUNTIF(Tables!$AA$2:$AA$17,A9)</f>
        <v>0</v>
      </c>
      <c r="D9">
        <f t="shared" si="3"/>
        <v>0</v>
      </c>
      <c r="E9">
        <f t="shared" si="0"/>
        <v>1</v>
      </c>
      <c r="F9" s="33">
        <f t="shared" si="1"/>
        <v>7</v>
      </c>
      <c r="AA9" s="10">
        <v>8</v>
      </c>
      <c r="AB9" s="14" t="str">
        <f>IF(ISBLANK(Tables!K9),"",VLOOKUP(Tables!K9,Tables!$AX$2:$BA$53,3,0))</f>
        <v/>
      </c>
      <c r="AC9" t="str">
        <f>IF(ISBLANK(Tables!L9),"",VLOOKUP(Tables!L9,Tables!$AX$2:$BA$53,3,0))</f>
        <v/>
      </c>
      <c r="AD9" t="str">
        <f>IF(ISBLANK(Tables!M9),"",VLOOKUP(Tables!M9,Tables!$AX$2:$BA$53,3,0))</f>
        <v/>
      </c>
      <c r="AE9" t="str">
        <f>IF(ISBLANK(Tables!N9),"",VLOOKUP(Tables!N9,Tables!$AX$2:$BA$53,3,0))</f>
        <v/>
      </c>
      <c r="AF9" t="str">
        <f>IF(ISBLANK(Tables!O9),"",VLOOKUP(Tables!O9,Tables!$AX$2:$BA$53,3,0))</f>
        <v/>
      </c>
      <c r="AG9" t="str">
        <f>IF(ISBLANK(Tables!P9),"",VLOOKUP(Tables!P9,Tables!$AX$2:$BA$53,3,0))</f>
        <v/>
      </c>
      <c r="AH9" t="str">
        <f>IF(ISBLANK(Tables!Q9),"",VLOOKUP(Tables!Q9,Tables!$AX$2:$BA$53,3,0))</f>
        <v/>
      </c>
      <c r="AI9" t="str">
        <f>IF(ISBLANK(Tables!R9),"",VLOOKUP(Tables!R9,Tables!$AX$2:$BA$53,3,0))</f>
        <v/>
      </c>
      <c r="AJ9" t="str">
        <f>IF(ISBLANK(Tables!S9),"",VLOOKUP(Tables!S9,Tables!$AX$2:$BA$53,3,0))</f>
        <v/>
      </c>
      <c r="AK9" t="str">
        <f>IF(ISBLANK(Tables!T9),"",VLOOKUP(Tables!T9,Tables!$AX$2:$BA$53,3,0))</f>
        <v/>
      </c>
      <c r="AL9" t="str">
        <f>IF(ISBLANK(Tables!U9),"",VLOOKUP(Tables!U9,Tables!$AX$2:$BA$53,3,0))</f>
        <v/>
      </c>
      <c r="AM9" t="str">
        <f>IF(ISBLANK(Tables!V9),"",VLOOKUP(Tables!V9,Tables!$AX$2:$BA$53,3,0))</f>
        <v/>
      </c>
      <c r="AN9" s="15" t="str">
        <f>IF(ISBLANK(Tables!W9),"",VLOOKUP(Tables!W9,Tables!$AX$2:$BA$53,3,0))</f>
        <v/>
      </c>
      <c r="AT9" s="10">
        <v>8</v>
      </c>
      <c r="AU9" s="10">
        <f>IF(ISBLANK(Tables!H9),"",VLOOKUP(Tables!H9,Tables!$AX$2:$BA$53,3,0))</f>
        <v>4</v>
      </c>
      <c r="AV9" s="10" t="str">
        <f>IF(ISBLANK(Tables!H9),"",VLOOKUP(Tables!H9,Tables!$AX$2:$BA$53,4,0))</f>
        <v>♦</v>
      </c>
      <c r="BB9" s="137">
        <v>6</v>
      </c>
      <c r="BC9" s="112" t="str">
        <f>IF(ISBLANK(Tables!AF7),"",VLOOKUP(Tables!AF7,Tables!$AX$2:$BA$53,3,0))</f>
        <v/>
      </c>
      <c r="BD9" s="16" t="str">
        <f>IF(ISBLANK(Tables!AG7),"",VLOOKUP(Tables!AG7,Tables!$AX$2:$BA$53,3,0))</f>
        <v/>
      </c>
      <c r="BE9" s="16" t="str">
        <f>IF(ISBLANK(Tables!AH7),"",VLOOKUP(Tables!AH7,Tables!$AX$2:$BA$53,3,0))</f>
        <v/>
      </c>
      <c r="BF9" s="113" t="str">
        <f>IF(ISBLANK(Tables!AI7),"",VLOOKUP(Tables!AI7,Tables!$AX$2:$BA$53,3,0))</f>
        <v/>
      </c>
      <c r="BG9" s="16" t="str">
        <f>IF(ISBLANK(Tables!AL7),"",VLOOKUP(Tables!AL7,Tables!$AX$2:$BA$53,3,0))</f>
        <v/>
      </c>
      <c r="BH9" s="16" t="str">
        <f>IF(ISBLANK(Tables!AM7),"",VLOOKUP(Tables!AM7,Tables!$AX$2:$BA$53,3,0))</f>
        <v/>
      </c>
      <c r="BI9" s="16" t="str">
        <f>IF(ISBLANK(Tables!AN7),"",VLOOKUP(Tables!AN7,Tables!$AX$2:$BA$53,3,0))</f>
        <v/>
      </c>
      <c r="BJ9" s="113" t="str">
        <f>IF(ISBLANK(Tables!AO7),"",VLOOKUP(Tables!AO7,Tables!$AX$2:$BA$53,3,0))</f>
        <v/>
      </c>
    </row>
    <row r="10" spans="1:62" x14ac:dyDescent="0.25">
      <c r="A10">
        <v>9</v>
      </c>
      <c r="B10" s="14">
        <f t="shared" si="2"/>
        <v>8</v>
      </c>
      <c r="C10">
        <f>COUNTIF(Tables!$AA$2:$AA$17,A10)</f>
        <v>0</v>
      </c>
      <c r="D10">
        <f t="shared" si="3"/>
        <v>0</v>
      </c>
      <c r="E10">
        <f t="shared" si="0"/>
        <v>0</v>
      </c>
      <c r="F10" s="33">
        <f t="shared" si="1"/>
        <v>8</v>
      </c>
      <c r="AA10" s="10">
        <v>9</v>
      </c>
      <c r="AB10" s="14" t="str">
        <f>IF(ISBLANK(Tables!K10),"",VLOOKUP(Tables!K10,Tables!$AX$2:$BA$53,3,0))</f>
        <v/>
      </c>
      <c r="AC10" t="str">
        <f>IF(ISBLANK(Tables!L10),"",VLOOKUP(Tables!L10,Tables!$AX$2:$BA$53,3,0))</f>
        <v/>
      </c>
      <c r="AD10" t="str">
        <f>IF(ISBLANK(Tables!M10),"",VLOOKUP(Tables!M10,Tables!$AX$2:$BA$53,3,0))</f>
        <v/>
      </c>
      <c r="AE10" t="str">
        <f>IF(ISBLANK(Tables!N10),"",VLOOKUP(Tables!N10,Tables!$AX$2:$BA$53,3,0))</f>
        <v/>
      </c>
      <c r="AF10" t="str">
        <f>IF(ISBLANK(Tables!O10),"",VLOOKUP(Tables!O10,Tables!$AX$2:$BA$53,3,0))</f>
        <v/>
      </c>
      <c r="AG10" t="str">
        <f>IF(ISBLANK(Tables!P10),"",VLOOKUP(Tables!P10,Tables!$AX$2:$BA$53,3,0))</f>
        <v/>
      </c>
      <c r="AH10" t="str">
        <f>IF(ISBLANK(Tables!Q10),"",VLOOKUP(Tables!Q10,Tables!$AX$2:$BA$53,3,0))</f>
        <v/>
      </c>
      <c r="AI10" t="str">
        <f>IF(ISBLANK(Tables!R10),"",VLOOKUP(Tables!R10,Tables!$AX$2:$BA$53,3,0))</f>
        <v/>
      </c>
      <c r="AJ10" t="str">
        <f>IF(ISBLANK(Tables!S10),"",VLOOKUP(Tables!S10,Tables!$AX$2:$BA$53,3,0))</f>
        <v/>
      </c>
      <c r="AK10" t="str">
        <f>IF(ISBLANK(Tables!T10),"",VLOOKUP(Tables!T10,Tables!$AX$2:$BA$53,3,0))</f>
        <v/>
      </c>
      <c r="AL10" t="str">
        <f>IF(ISBLANK(Tables!U10),"",VLOOKUP(Tables!U10,Tables!$AX$2:$BA$53,3,0))</f>
        <v/>
      </c>
      <c r="AM10" t="str">
        <f>IF(ISBLANK(Tables!V10),"",VLOOKUP(Tables!V10,Tables!$AX$2:$BA$53,3,0))</f>
        <v/>
      </c>
      <c r="AN10" s="15" t="str">
        <f>IF(ISBLANK(Tables!W10),"",VLOOKUP(Tables!W10,Tables!$AX$2:$BA$53,3,0))</f>
        <v/>
      </c>
      <c r="AT10" s="10">
        <v>9</v>
      </c>
      <c r="AU10" s="10">
        <f>IF(ISBLANK(Tables!H10),"",VLOOKUP(Tables!H10,Tables!$AX$2:$BA$53,3,0))</f>
        <v>2</v>
      </c>
      <c r="AV10" s="10" t="str">
        <f>IF(ISBLANK(Tables!H10),"",VLOOKUP(Tables!H10,Tables!$AX$2:$BA$53,4,0))</f>
        <v>♥</v>
      </c>
      <c r="BB10" s="137">
        <v>7</v>
      </c>
      <c r="BC10" s="112" t="str">
        <f>IF(ISBLANK(Tables!AF8),"",VLOOKUP(Tables!AF8,Tables!$AX$2:$BA$53,3,0))</f>
        <v/>
      </c>
      <c r="BD10" s="16" t="str">
        <f>IF(ISBLANK(Tables!AG8),"",VLOOKUP(Tables!AG8,Tables!$AX$2:$BA$53,3,0))</f>
        <v/>
      </c>
      <c r="BE10" s="16" t="str">
        <f>IF(ISBLANK(Tables!AH8),"",VLOOKUP(Tables!AH8,Tables!$AX$2:$BA$53,3,0))</f>
        <v/>
      </c>
      <c r="BF10" s="113" t="str">
        <f>IF(ISBLANK(Tables!AI8),"",VLOOKUP(Tables!AI8,Tables!$AX$2:$BA$53,3,0))</f>
        <v/>
      </c>
      <c r="BG10" s="16" t="str">
        <f>IF(ISBLANK(Tables!AL8),"",VLOOKUP(Tables!AL8,Tables!$AX$2:$BA$53,3,0))</f>
        <v/>
      </c>
      <c r="BH10" s="16" t="str">
        <f>IF(ISBLANK(Tables!AM8),"",VLOOKUP(Tables!AM8,Tables!$AX$2:$BA$53,3,0))</f>
        <v/>
      </c>
      <c r="BI10" s="16" t="str">
        <f>IF(ISBLANK(Tables!AN8),"",VLOOKUP(Tables!AN8,Tables!$AX$2:$BA$53,3,0))</f>
        <v/>
      </c>
      <c r="BJ10" s="113" t="str">
        <f>IF(ISBLANK(Tables!AO8),"",VLOOKUP(Tables!AO8,Tables!$AX$2:$BA$53,3,0))</f>
        <v/>
      </c>
    </row>
    <row r="11" spans="1:62" x14ac:dyDescent="0.25">
      <c r="A11">
        <v>10</v>
      </c>
      <c r="B11" s="14">
        <f t="shared" si="2"/>
        <v>5</v>
      </c>
      <c r="C11">
        <f>COUNTIF(Tables!$AA$2:$AA$17,A11)</f>
        <v>0</v>
      </c>
      <c r="D11">
        <f t="shared" si="3"/>
        <v>0</v>
      </c>
      <c r="E11">
        <f t="shared" si="0"/>
        <v>3</v>
      </c>
      <c r="F11" s="33">
        <f t="shared" si="1"/>
        <v>5</v>
      </c>
      <c r="AA11" s="10">
        <v>10</v>
      </c>
      <c r="AB11" s="14" t="str">
        <f>IF(ISBLANK(Tables!K11),"",VLOOKUP(Tables!K11,Tables!$AX$2:$BA$53,3,0))</f>
        <v/>
      </c>
      <c r="AC11" t="str">
        <f>IF(ISBLANK(Tables!L11),"",VLOOKUP(Tables!L11,Tables!$AX$2:$BA$53,3,0))</f>
        <v/>
      </c>
      <c r="AD11" t="str">
        <f>IF(ISBLANK(Tables!M11),"",VLOOKUP(Tables!M11,Tables!$AX$2:$BA$53,3,0))</f>
        <v/>
      </c>
      <c r="AE11" t="str">
        <f>IF(ISBLANK(Tables!N11),"",VLOOKUP(Tables!N11,Tables!$AX$2:$BA$53,3,0))</f>
        <v/>
      </c>
      <c r="AF11" t="str">
        <f>IF(ISBLANK(Tables!O11),"",VLOOKUP(Tables!O11,Tables!$AX$2:$BA$53,3,0))</f>
        <v/>
      </c>
      <c r="AG11" t="str">
        <f>IF(ISBLANK(Tables!P11),"",VLOOKUP(Tables!P11,Tables!$AX$2:$BA$53,3,0))</f>
        <v/>
      </c>
      <c r="AH11" t="str">
        <f>IF(ISBLANK(Tables!Q11),"",VLOOKUP(Tables!Q11,Tables!$AX$2:$BA$53,3,0))</f>
        <v/>
      </c>
      <c r="AI11" t="str">
        <f>IF(ISBLANK(Tables!R11),"",VLOOKUP(Tables!R11,Tables!$AX$2:$BA$53,3,0))</f>
        <v/>
      </c>
      <c r="AJ11" t="str">
        <f>IF(ISBLANK(Tables!S11),"",VLOOKUP(Tables!S11,Tables!$AX$2:$BA$53,3,0))</f>
        <v/>
      </c>
      <c r="AK11" t="str">
        <f>IF(ISBLANK(Tables!T11),"",VLOOKUP(Tables!T11,Tables!$AX$2:$BA$53,3,0))</f>
        <v/>
      </c>
      <c r="AL11" t="str">
        <f>IF(ISBLANK(Tables!U11),"",VLOOKUP(Tables!U11,Tables!$AX$2:$BA$53,3,0))</f>
        <v/>
      </c>
      <c r="AM11" t="str">
        <f>IF(ISBLANK(Tables!V11),"",VLOOKUP(Tables!V11,Tables!$AX$2:$BA$53,3,0))</f>
        <v/>
      </c>
      <c r="AN11" s="15" t="str">
        <f>IF(ISBLANK(Tables!W11),"",VLOOKUP(Tables!W11,Tables!$AX$2:$BA$53,3,0))</f>
        <v/>
      </c>
      <c r="AT11" s="10">
        <v>10</v>
      </c>
      <c r="AU11" s="10">
        <f>IF(ISBLANK(Tables!H11),"",VLOOKUP(Tables!H11,Tables!$AX$2:$BA$53,3,0))</f>
        <v>7</v>
      </c>
      <c r="AV11" s="10" t="str">
        <f>IF(ISBLANK(Tables!H11),"",VLOOKUP(Tables!H11,Tables!$AX$2:$BA$53,4,0))</f>
        <v>♣</v>
      </c>
      <c r="BB11" s="137">
        <v>8</v>
      </c>
      <c r="BC11" s="112" t="str">
        <f>IF(ISBLANK(Tables!AF9),"",VLOOKUP(Tables!AF9,Tables!$AX$2:$BA$53,3,0))</f>
        <v/>
      </c>
      <c r="BD11" s="16" t="str">
        <f>IF(ISBLANK(Tables!AG9),"",VLOOKUP(Tables!AG9,Tables!$AX$2:$BA$53,3,0))</f>
        <v/>
      </c>
      <c r="BE11" s="16" t="str">
        <f>IF(ISBLANK(Tables!AH9),"",VLOOKUP(Tables!AH9,Tables!$AX$2:$BA$53,3,0))</f>
        <v/>
      </c>
      <c r="BF11" s="113" t="str">
        <f>IF(ISBLANK(Tables!AI9),"",VLOOKUP(Tables!AI9,Tables!$AX$2:$BA$53,3,0))</f>
        <v/>
      </c>
      <c r="BG11" s="16" t="str">
        <f>IF(ISBLANK(Tables!AL9),"",VLOOKUP(Tables!AL9,Tables!$AX$2:$BA$53,3,0))</f>
        <v/>
      </c>
      <c r="BH11" s="16" t="str">
        <f>IF(ISBLANK(Tables!AM9),"",VLOOKUP(Tables!AM9,Tables!$AX$2:$BA$53,3,0))</f>
        <v/>
      </c>
      <c r="BI11" s="16" t="str">
        <f>IF(ISBLANK(Tables!AN9),"",VLOOKUP(Tables!AN9,Tables!$AX$2:$BA$53,3,0))</f>
        <v/>
      </c>
      <c r="BJ11" s="113" t="str">
        <f>IF(ISBLANK(Tables!AO9),"",VLOOKUP(Tables!AO9,Tables!$AX$2:$BA$53,3,0))</f>
        <v/>
      </c>
    </row>
    <row r="12" spans="1:62" x14ac:dyDescent="0.25">
      <c r="A12">
        <v>11</v>
      </c>
      <c r="B12" s="14">
        <f t="shared" si="2"/>
        <v>6</v>
      </c>
      <c r="C12">
        <f>COUNTIF(Tables!$AA$2:$AA$17,A12)</f>
        <v>0</v>
      </c>
      <c r="D12">
        <f t="shared" si="3"/>
        <v>0</v>
      </c>
      <c r="E12">
        <f t="shared" si="0"/>
        <v>2</v>
      </c>
      <c r="F12" s="33">
        <f t="shared" si="1"/>
        <v>6</v>
      </c>
      <c r="AA12" s="10">
        <v>11</v>
      </c>
      <c r="AB12" s="14" t="str">
        <f>IF(ISBLANK(Tables!K12),"",VLOOKUP(Tables!K12,Tables!$AX$2:$BA$53,3,0))</f>
        <v/>
      </c>
      <c r="AC12" t="str">
        <f>IF(ISBLANK(Tables!L12),"",VLOOKUP(Tables!L12,Tables!$AX$2:$BA$53,3,0))</f>
        <v/>
      </c>
      <c r="AD12" t="str">
        <f>IF(ISBLANK(Tables!M12),"",VLOOKUP(Tables!M12,Tables!$AX$2:$BA$53,3,0))</f>
        <v/>
      </c>
      <c r="AE12" t="str">
        <f>IF(ISBLANK(Tables!N12),"",VLOOKUP(Tables!N12,Tables!$AX$2:$BA$53,3,0))</f>
        <v/>
      </c>
      <c r="AF12" t="str">
        <f>IF(ISBLANK(Tables!O12),"",VLOOKUP(Tables!O12,Tables!$AX$2:$BA$53,3,0))</f>
        <v/>
      </c>
      <c r="AG12" t="str">
        <f>IF(ISBLANK(Tables!P12),"",VLOOKUP(Tables!P12,Tables!$AX$2:$BA$53,3,0))</f>
        <v/>
      </c>
      <c r="AH12" t="str">
        <f>IF(ISBLANK(Tables!Q12),"",VLOOKUP(Tables!Q12,Tables!$AX$2:$BA$53,3,0))</f>
        <v/>
      </c>
      <c r="AI12" t="str">
        <f>IF(ISBLANK(Tables!R12),"",VLOOKUP(Tables!R12,Tables!$AX$2:$BA$53,3,0))</f>
        <v/>
      </c>
      <c r="AJ12" t="str">
        <f>IF(ISBLANK(Tables!S12),"",VLOOKUP(Tables!S12,Tables!$AX$2:$BA$53,3,0))</f>
        <v/>
      </c>
      <c r="AK12" t="str">
        <f>IF(ISBLANK(Tables!T12),"",VLOOKUP(Tables!T12,Tables!$AX$2:$BA$53,3,0))</f>
        <v/>
      </c>
      <c r="AL12" t="str">
        <f>IF(ISBLANK(Tables!U12),"",VLOOKUP(Tables!U12,Tables!$AX$2:$BA$53,3,0))</f>
        <v/>
      </c>
      <c r="AM12" t="str">
        <f>IF(ISBLANK(Tables!V12),"",VLOOKUP(Tables!V12,Tables!$AX$2:$BA$53,3,0))</f>
        <v/>
      </c>
      <c r="AN12" s="15" t="str">
        <f>IF(ISBLANK(Tables!W12),"",VLOOKUP(Tables!W12,Tables!$AX$2:$BA$53,3,0))</f>
        <v/>
      </c>
      <c r="AT12" s="10">
        <v>11</v>
      </c>
      <c r="AU12" s="10">
        <f>IF(ISBLANK(Tables!H12),"",VLOOKUP(Tables!H12,Tables!$AX$2:$BA$53,3,0))</f>
        <v>2</v>
      </c>
      <c r="AV12" s="10" t="str">
        <f>IF(ISBLANK(Tables!H12),"",VLOOKUP(Tables!H12,Tables!$AX$2:$BA$53,4,0))</f>
        <v>♠</v>
      </c>
      <c r="BB12" s="137">
        <v>9</v>
      </c>
      <c r="BC12" s="112" t="str">
        <f>IF(ISBLANK(Tables!AF10),"",VLOOKUP(Tables!AF10,Tables!$AX$2:$BA$53,3,0))</f>
        <v/>
      </c>
      <c r="BD12" s="16" t="str">
        <f>IF(ISBLANK(Tables!AG10),"",VLOOKUP(Tables!AG10,Tables!$AX$2:$BA$53,3,0))</f>
        <v/>
      </c>
      <c r="BE12" s="16" t="str">
        <f>IF(ISBLANK(Tables!AH10),"",VLOOKUP(Tables!AH10,Tables!$AX$2:$BA$53,3,0))</f>
        <v/>
      </c>
      <c r="BF12" s="113" t="str">
        <f>IF(ISBLANK(Tables!AI10),"",VLOOKUP(Tables!AI10,Tables!$AX$2:$BA$53,3,0))</f>
        <v/>
      </c>
      <c r="BG12" s="16" t="str">
        <f>IF(ISBLANK(Tables!AL10),"",VLOOKUP(Tables!AL10,Tables!$AX$2:$BA$53,3,0))</f>
        <v/>
      </c>
      <c r="BH12" s="16" t="str">
        <f>IF(ISBLANK(Tables!AM10),"",VLOOKUP(Tables!AM10,Tables!$AX$2:$BA$53,3,0))</f>
        <v/>
      </c>
      <c r="BI12" s="16" t="str">
        <f>IF(ISBLANK(Tables!AN10),"",VLOOKUP(Tables!AN10,Tables!$AX$2:$BA$53,3,0))</f>
        <v/>
      </c>
      <c r="BJ12" s="113" t="str">
        <f>IF(ISBLANK(Tables!AO10),"",VLOOKUP(Tables!AO10,Tables!$AX$2:$BA$53,3,0))</f>
        <v/>
      </c>
    </row>
    <row r="13" spans="1:62" x14ac:dyDescent="0.25">
      <c r="A13">
        <v>12</v>
      </c>
      <c r="B13" s="14">
        <f t="shared" si="2"/>
        <v>7</v>
      </c>
      <c r="C13">
        <f>COUNTIF(Tables!$AA$2:$AA$17,A13)</f>
        <v>0</v>
      </c>
      <c r="D13">
        <f t="shared" si="3"/>
        <v>0</v>
      </c>
      <c r="E13">
        <f t="shared" si="0"/>
        <v>1</v>
      </c>
      <c r="F13" s="33">
        <f t="shared" si="1"/>
        <v>7</v>
      </c>
      <c r="AA13" s="10">
        <v>12</v>
      </c>
      <c r="AB13" s="14" t="str">
        <f>IF(ISBLANK(Tables!K13),"",VLOOKUP(Tables!K13,Tables!$AX$2:$BA$53,3,0))</f>
        <v/>
      </c>
      <c r="AC13" t="str">
        <f>IF(ISBLANK(Tables!L13),"",VLOOKUP(Tables!L13,Tables!$AX$2:$BA$53,3,0))</f>
        <v/>
      </c>
      <c r="AD13" t="str">
        <f>IF(ISBLANK(Tables!M13),"",VLOOKUP(Tables!M13,Tables!$AX$2:$BA$53,3,0))</f>
        <v/>
      </c>
      <c r="AE13" t="str">
        <f>IF(ISBLANK(Tables!N13),"",VLOOKUP(Tables!N13,Tables!$AX$2:$BA$53,3,0))</f>
        <v/>
      </c>
      <c r="AF13" t="str">
        <f>IF(ISBLANK(Tables!O13),"",VLOOKUP(Tables!O13,Tables!$AX$2:$BA$53,3,0))</f>
        <v/>
      </c>
      <c r="AG13" t="str">
        <f>IF(ISBLANK(Tables!P13),"",VLOOKUP(Tables!P13,Tables!$AX$2:$BA$53,3,0))</f>
        <v/>
      </c>
      <c r="AH13" t="str">
        <f>IF(ISBLANK(Tables!Q13),"",VLOOKUP(Tables!Q13,Tables!$AX$2:$BA$53,3,0))</f>
        <v/>
      </c>
      <c r="AI13" t="str">
        <f>IF(ISBLANK(Tables!R13),"",VLOOKUP(Tables!R13,Tables!$AX$2:$BA$53,3,0))</f>
        <v/>
      </c>
      <c r="AJ13" t="str">
        <f>IF(ISBLANK(Tables!S13),"",VLOOKUP(Tables!S13,Tables!$AX$2:$BA$53,3,0))</f>
        <v/>
      </c>
      <c r="AK13" t="str">
        <f>IF(ISBLANK(Tables!T13),"",VLOOKUP(Tables!T13,Tables!$AX$2:$BA$53,3,0))</f>
        <v/>
      </c>
      <c r="AL13" t="str">
        <f>IF(ISBLANK(Tables!U13),"",VLOOKUP(Tables!U13,Tables!$AX$2:$BA$53,3,0))</f>
        <v/>
      </c>
      <c r="AM13" t="str">
        <f>IF(ISBLANK(Tables!V13),"",VLOOKUP(Tables!V13,Tables!$AX$2:$BA$53,3,0))</f>
        <v/>
      </c>
      <c r="AN13" s="15" t="str">
        <f>IF(ISBLANK(Tables!W13),"",VLOOKUP(Tables!W13,Tables!$AX$2:$BA$53,3,0))</f>
        <v/>
      </c>
      <c r="AT13" s="10">
        <v>12</v>
      </c>
      <c r="AU13" s="10">
        <f>IF(ISBLANK(Tables!H13),"",VLOOKUP(Tables!H13,Tables!$AX$2:$BA$53,3,0))</f>
        <v>12</v>
      </c>
      <c r="AV13" s="10" t="str">
        <f>IF(ISBLANK(Tables!H13),"",VLOOKUP(Tables!H13,Tables!$AX$2:$BA$53,4,0))</f>
        <v>♦</v>
      </c>
      <c r="BB13" s="137">
        <v>10</v>
      </c>
      <c r="BC13" s="112" t="str">
        <f>IF(ISBLANK(Tables!AF11),"",VLOOKUP(Tables!AF11,Tables!$AX$2:$BA$53,3,0))</f>
        <v/>
      </c>
      <c r="BD13" s="16" t="str">
        <f>IF(ISBLANK(Tables!AG11),"",VLOOKUP(Tables!AG11,Tables!$AX$2:$BA$53,3,0))</f>
        <v/>
      </c>
      <c r="BE13" s="16" t="str">
        <f>IF(ISBLANK(Tables!AH11),"",VLOOKUP(Tables!AH11,Tables!$AX$2:$BA$53,3,0))</f>
        <v/>
      </c>
      <c r="BF13" s="113" t="str">
        <f>IF(ISBLANK(Tables!AI11),"",VLOOKUP(Tables!AI11,Tables!$AX$2:$BA$53,3,0))</f>
        <v/>
      </c>
      <c r="BG13" s="16" t="str">
        <f>IF(ISBLANK(Tables!AL11),"",VLOOKUP(Tables!AL11,Tables!$AX$2:$BA$53,3,0))</f>
        <v/>
      </c>
      <c r="BH13" s="16" t="str">
        <f>IF(ISBLANK(Tables!AM11),"",VLOOKUP(Tables!AM11,Tables!$AX$2:$BA$53,3,0))</f>
        <v/>
      </c>
      <c r="BI13" s="16" t="str">
        <f>IF(ISBLANK(Tables!AN11),"",VLOOKUP(Tables!AN11,Tables!$AX$2:$BA$53,3,0))</f>
        <v/>
      </c>
      <c r="BJ13" s="113" t="str">
        <f>IF(ISBLANK(Tables!AO11),"",VLOOKUP(Tables!AO11,Tables!$AX$2:$BA$53,3,0))</f>
        <v/>
      </c>
    </row>
    <row r="14" spans="1:62" x14ac:dyDescent="0.25">
      <c r="A14">
        <v>13</v>
      </c>
      <c r="B14" s="14">
        <f t="shared" si="2"/>
        <v>7</v>
      </c>
      <c r="C14">
        <f>COUNTIF(Tables!$AA$2:$AA$17,A14)</f>
        <v>0</v>
      </c>
      <c r="D14">
        <f t="shared" si="3"/>
        <v>0</v>
      </c>
      <c r="E14">
        <f t="shared" si="0"/>
        <v>1</v>
      </c>
      <c r="F14" s="33">
        <f t="shared" si="1"/>
        <v>7</v>
      </c>
      <c r="AA14" s="10">
        <v>13</v>
      </c>
      <c r="AB14" s="14" t="str">
        <f>IF(ISBLANK(Tables!K14),"",VLOOKUP(Tables!K14,Tables!$AX$2:$BA$53,3,0))</f>
        <v/>
      </c>
      <c r="AC14" t="str">
        <f>IF(ISBLANK(Tables!L14),"",VLOOKUP(Tables!L14,Tables!$AX$2:$BA$53,3,0))</f>
        <v/>
      </c>
      <c r="AD14" t="str">
        <f>IF(ISBLANK(Tables!M14),"",VLOOKUP(Tables!M14,Tables!$AX$2:$BA$53,3,0))</f>
        <v/>
      </c>
      <c r="AE14" t="str">
        <f>IF(ISBLANK(Tables!N14),"",VLOOKUP(Tables!N14,Tables!$AX$2:$BA$53,3,0))</f>
        <v/>
      </c>
      <c r="AF14" t="str">
        <f>IF(ISBLANK(Tables!O14),"",VLOOKUP(Tables!O14,Tables!$AX$2:$BA$53,3,0))</f>
        <v/>
      </c>
      <c r="AG14" t="str">
        <f>IF(ISBLANK(Tables!P14),"",VLOOKUP(Tables!P14,Tables!$AX$2:$BA$53,3,0))</f>
        <v/>
      </c>
      <c r="AH14" t="str">
        <f>IF(ISBLANK(Tables!Q14),"",VLOOKUP(Tables!Q14,Tables!$AX$2:$BA$53,3,0))</f>
        <v/>
      </c>
      <c r="AI14" t="str">
        <f>IF(ISBLANK(Tables!R14),"",VLOOKUP(Tables!R14,Tables!$AX$2:$BA$53,3,0))</f>
        <v/>
      </c>
      <c r="AJ14" t="str">
        <f>IF(ISBLANK(Tables!S14),"",VLOOKUP(Tables!S14,Tables!$AX$2:$BA$53,3,0))</f>
        <v/>
      </c>
      <c r="AK14" t="str">
        <f>IF(ISBLANK(Tables!T14),"",VLOOKUP(Tables!T14,Tables!$AX$2:$BA$53,3,0))</f>
        <v/>
      </c>
      <c r="AL14" t="str">
        <f>IF(ISBLANK(Tables!U14),"",VLOOKUP(Tables!U14,Tables!$AX$2:$BA$53,3,0))</f>
        <v/>
      </c>
      <c r="AM14" t="str">
        <f>IF(ISBLANK(Tables!V14),"",VLOOKUP(Tables!V14,Tables!$AX$2:$BA$53,3,0))</f>
        <v/>
      </c>
      <c r="AN14" s="15" t="str">
        <f>IF(ISBLANK(Tables!W14),"",VLOOKUP(Tables!W14,Tables!$AX$2:$BA$53,3,0))</f>
        <v/>
      </c>
      <c r="AT14" s="10">
        <v>13</v>
      </c>
      <c r="AU14" s="10">
        <f>IF(ISBLANK(Tables!H14),"",VLOOKUP(Tables!H14,Tables!$AX$2:$BA$53,3,0))</f>
        <v>10</v>
      </c>
      <c r="AV14" s="10" t="str">
        <f>IF(ISBLANK(Tables!H14),"",VLOOKUP(Tables!H14,Tables!$AX$2:$BA$53,4,0))</f>
        <v>♣</v>
      </c>
      <c r="BB14" s="137">
        <v>11</v>
      </c>
      <c r="BC14" s="112" t="str">
        <f>IF(ISBLANK(Tables!AF12),"",VLOOKUP(Tables!AF12,Tables!$AX$2:$BA$53,3,0))</f>
        <v/>
      </c>
      <c r="BD14" s="16" t="str">
        <f>IF(ISBLANK(Tables!AG12),"",VLOOKUP(Tables!AG12,Tables!$AX$2:$BA$53,3,0))</f>
        <v/>
      </c>
      <c r="BE14" s="16" t="str">
        <f>IF(ISBLANK(Tables!AH12),"",VLOOKUP(Tables!AH12,Tables!$AX$2:$BA$53,3,0))</f>
        <v/>
      </c>
      <c r="BF14" s="113" t="str">
        <f>IF(ISBLANK(Tables!AI12),"",VLOOKUP(Tables!AI12,Tables!$AX$2:$BA$53,3,0))</f>
        <v/>
      </c>
      <c r="BG14" s="16" t="str">
        <f>IF(ISBLANK(Tables!AL12),"",VLOOKUP(Tables!AL12,Tables!$AX$2:$BA$53,3,0))</f>
        <v/>
      </c>
      <c r="BH14" s="16" t="str">
        <f>IF(ISBLANK(Tables!AM12),"",VLOOKUP(Tables!AM12,Tables!$AX$2:$BA$53,3,0))</f>
        <v/>
      </c>
      <c r="BI14" s="16" t="str">
        <f>IF(ISBLANK(Tables!AN12),"",VLOOKUP(Tables!AN12,Tables!$AX$2:$BA$53,3,0))</f>
        <v/>
      </c>
      <c r="BJ14" s="113" t="str">
        <f>IF(ISBLANK(Tables!AO12),"",VLOOKUP(Tables!AO12,Tables!$AX$2:$BA$53,3,0))</f>
        <v/>
      </c>
    </row>
    <row r="15" spans="1:62" x14ac:dyDescent="0.25">
      <c r="AA15" s="10">
        <v>14</v>
      </c>
      <c r="AB15" s="14" t="str">
        <f>IF(ISBLANK(Tables!K15),"",VLOOKUP(Tables!K15,Tables!$AX$2:$BA$53,3,0))</f>
        <v/>
      </c>
      <c r="AC15" t="str">
        <f>IF(ISBLANK(Tables!L15),"",VLOOKUP(Tables!L15,Tables!$AX$2:$BA$53,3,0))</f>
        <v/>
      </c>
      <c r="AD15" t="str">
        <f>IF(ISBLANK(Tables!M15),"",VLOOKUP(Tables!M15,Tables!$AX$2:$BA$53,3,0))</f>
        <v/>
      </c>
      <c r="AE15" t="str">
        <f>IF(ISBLANK(Tables!N15),"",VLOOKUP(Tables!N15,Tables!$AX$2:$BA$53,3,0))</f>
        <v/>
      </c>
      <c r="AF15" t="str">
        <f>IF(ISBLANK(Tables!O15),"",VLOOKUP(Tables!O15,Tables!$AX$2:$BA$53,3,0))</f>
        <v/>
      </c>
      <c r="AG15" t="str">
        <f>IF(ISBLANK(Tables!P15),"",VLOOKUP(Tables!P15,Tables!$AX$2:$BA$53,3,0))</f>
        <v/>
      </c>
      <c r="AH15" t="str">
        <f>IF(ISBLANK(Tables!Q15),"",VLOOKUP(Tables!Q15,Tables!$AX$2:$BA$53,3,0))</f>
        <v/>
      </c>
      <c r="AI15" t="str">
        <f>IF(ISBLANK(Tables!R15),"",VLOOKUP(Tables!R15,Tables!$AX$2:$BA$53,3,0))</f>
        <v/>
      </c>
      <c r="AJ15" t="str">
        <f>IF(ISBLANK(Tables!S15),"",VLOOKUP(Tables!S15,Tables!$AX$2:$BA$53,3,0))</f>
        <v/>
      </c>
      <c r="AK15" t="str">
        <f>IF(ISBLANK(Tables!T15),"",VLOOKUP(Tables!T15,Tables!$AX$2:$BA$53,3,0))</f>
        <v/>
      </c>
      <c r="AL15" t="str">
        <f>IF(ISBLANK(Tables!U15),"",VLOOKUP(Tables!U15,Tables!$AX$2:$BA$53,3,0))</f>
        <v/>
      </c>
      <c r="AM15" t="str">
        <f>IF(ISBLANK(Tables!V15),"",VLOOKUP(Tables!V15,Tables!$AX$2:$BA$53,3,0))</f>
        <v/>
      </c>
      <c r="AN15" s="15" t="str">
        <f>IF(ISBLANK(Tables!W15),"",VLOOKUP(Tables!W15,Tables!$AX$2:$BA$53,3,0))</f>
        <v/>
      </c>
      <c r="AT15" s="10">
        <v>14</v>
      </c>
      <c r="AU15" s="10">
        <f>IF(ISBLANK(Tables!H15),"",VLOOKUP(Tables!H15,Tables!$AX$2:$BA$53,3,0))</f>
        <v>1</v>
      </c>
      <c r="AV15" s="10" t="str">
        <f>IF(ISBLANK(Tables!H15),"",VLOOKUP(Tables!H15,Tables!$AX$2:$BA$53,4,0))</f>
        <v>♣</v>
      </c>
      <c r="BB15" s="137">
        <v>12</v>
      </c>
      <c r="BC15" s="112" t="str">
        <f>IF(ISBLANK(Tables!AF13),"",VLOOKUP(Tables!AF13,Tables!$AX$2:$BA$53,3,0))</f>
        <v/>
      </c>
      <c r="BD15" s="16" t="str">
        <f>IF(ISBLANK(Tables!AG13),"",VLOOKUP(Tables!AG13,Tables!$AX$2:$BA$53,3,0))</f>
        <v/>
      </c>
      <c r="BE15" s="16" t="str">
        <f>IF(ISBLANK(Tables!AH13),"",VLOOKUP(Tables!AH13,Tables!$AX$2:$BA$53,3,0))</f>
        <v/>
      </c>
      <c r="BF15" s="113" t="str">
        <f>IF(ISBLANK(Tables!AI13),"",VLOOKUP(Tables!AI13,Tables!$AX$2:$BA$53,3,0))</f>
        <v/>
      </c>
      <c r="BG15" s="16" t="str">
        <f>IF(ISBLANK(Tables!AL13),"",VLOOKUP(Tables!AL13,Tables!$AX$2:$BA$53,3,0))</f>
        <v/>
      </c>
      <c r="BH15" s="16" t="str">
        <f>IF(ISBLANK(Tables!AM13),"",VLOOKUP(Tables!AM13,Tables!$AX$2:$BA$53,3,0))</f>
        <v/>
      </c>
      <c r="BI15" s="16" t="str">
        <f>IF(ISBLANK(Tables!AN13),"",VLOOKUP(Tables!AN13,Tables!$AX$2:$BA$53,3,0))</f>
        <v/>
      </c>
      <c r="BJ15" s="113" t="str">
        <f>IF(ISBLANK(Tables!AO13),"",VLOOKUP(Tables!AO13,Tables!$AX$2:$BA$53,3,0))</f>
        <v/>
      </c>
    </row>
    <row r="16" spans="1:62" ht="15.75" thickBot="1" x14ac:dyDescent="0.3">
      <c r="AA16" s="8">
        <v>15</v>
      </c>
      <c r="AB16" s="4" t="str">
        <f>IF(ISBLANK(Tables!K16),"",VLOOKUP(Tables!K16,Tables!$AX$2:$BA$53,3,0))</f>
        <v/>
      </c>
      <c r="AC16" s="5" t="str">
        <f>IF(ISBLANK(Tables!L16),"",VLOOKUP(Tables!L16,Tables!$AX$2:$BA$53,3,0))</f>
        <v/>
      </c>
      <c r="AD16" s="5" t="str">
        <f>IF(ISBLANK(Tables!M16),"",VLOOKUP(Tables!M16,Tables!$AX$2:$BA$53,3,0))</f>
        <v/>
      </c>
      <c r="AE16" s="5" t="str">
        <f>IF(ISBLANK(Tables!N16),"",VLOOKUP(Tables!N16,Tables!$AX$2:$BA$53,3,0))</f>
        <v/>
      </c>
      <c r="AF16" s="5" t="str">
        <f>IF(ISBLANK(Tables!O16),"",VLOOKUP(Tables!O16,Tables!$AX$2:$BA$53,3,0))</f>
        <v/>
      </c>
      <c r="AG16" s="5" t="str">
        <f>IF(ISBLANK(Tables!P16),"",VLOOKUP(Tables!P16,Tables!$AX$2:$BA$53,3,0))</f>
        <v/>
      </c>
      <c r="AH16" s="5" t="str">
        <f>IF(ISBLANK(Tables!Q16),"",VLOOKUP(Tables!Q16,Tables!$AX$2:$BA$53,3,0))</f>
        <v/>
      </c>
      <c r="AI16" s="5" t="str">
        <f>IF(ISBLANK(Tables!R16),"",VLOOKUP(Tables!R16,Tables!$AX$2:$BA$53,3,0))</f>
        <v/>
      </c>
      <c r="AJ16" s="5" t="str">
        <f>IF(ISBLANK(Tables!S16),"",VLOOKUP(Tables!S16,Tables!$AX$2:$BA$53,3,0))</f>
        <v/>
      </c>
      <c r="AK16" s="5" t="str">
        <f>IF(ISBLANK(Tables!T16),"",VLOOKUP(Tables!T16,Tables!$AX$2:$BA$53,3,0))</f>
        <v/>
      </c>
      <c r="AL16" s="5" t="str">
        <f>IF(ISBLANK(Tables!U16),"",VLOOKUP(Tables!U16,Tables!$AX$2:$BA$53,3,0))</f>
        <v/>
      </c>
      <c r="AM16" s="5" t="str">
        <f>IF(ISBLANK(Tables!V16),"",VLOOKUP(Tables!V16,Tables!$AX$2:$BA$53,3,0))</f>
        <v/>
      </c>
      <c r="AN16" s="6" t="str">
        <f>IF(ISBLANK(Tables!W16),"",VLOOKUP(Tables!W16,Tables!$AX$2:$BA$53,3,0))</f>
        <v/>
      </c>
      <c r="AT16" s="10">
        <v>15</v>
      </c>
      <c r="AU16" s="10">
        <f>IF(ISBLANK(Tables!H16),"",VLOOKUP(Tables!H16,Tables!$AX$2:$BA$53,3,0))</f>
        <v>10</v>
      </c>
      <c r="AV16" s="10" t="str">
        <f>IF(ISBLANK(Tables!H16),"",VLOOKUP(Tables!H16,Tables!$AX$2:$BA$53,4,0))</f>
        <v>♦</v>
      </c>
      <c r="BB16" s="139">
        <v>13</v>
      </c>
      <c r="BC16" s="132" t="str">
        <f>IF(ISBLANK(Tables!AF14),"",VLOOKUP(Tables!AF14,Tables!$AX$2:$BA$53,3,0))</f>
        <v/>
      </c>
      <c r="BD16" s="114" t="str">
        <f>IF(ISBLANK(Tables!AG14),"",VLOOKUP(Tables!AG14,Tables!$AX$2:$BA$53,3,0))</f>
        <v/>
      </c>
      <c r="BE16" s="114" t="str">
        <f>IF(ISBLANK(Tables!AH14),"",VLOOKUP(Tables!AH14,Tables!$AX$2:$BA$53,3,0))</f>
        <v/>
      </c>
      <c r="BF16" s="115" t="str">
        <f>IF(ISBLANK(Tables!AI14),"",VLOOKUP(Tables!AI14,Tables!$AX$2:$BA$53,3,0))</f>
        <v/>
      </c>
      <c r="BG16" s="114" t="str">
        <f>IF(ISBLANK(Tables!AL14),"",VLOOKUP(Tables!AL14,Tables!$AX$2:$BA$53,3,0))</f>
        <v/>
      </c>
      <c r="BH16" s="114" t="str">
        <f>IF(ISBLANK(Tables!AM14),"",VLOOKUP(Tables!AM14,Tables!$AX$2:$BA$53,3,0))</f>
        <v/>
      </c>
      <c r="BI16" s="114" t="str">
        <f>IF(ISBLANK(Tables!AN14),"",VLOOKUP(Tables!AN14,Tables!$AX$2:$BA$53,3,0))</f>
        <v/>
      </c>
      <c r="BJ16" s="115" t="str">
        <f>IF(ISBLANK(Tables!AO14),"",VLOOKUP(Tables!AO14,Tables!$AX$2:$BA$53,3,0))</f>
        <v/>
      </c>
    </row>
    <row r="17" spans="27:62" ht="15.75" thickBot="1" x14ac:dyDescent="0.3">
      <c r="AT17" s="10">
        <v>16</v>
      </c>
      <c r="AU17" s="10">
        <f>IF(ISBLANK(Tables!H17),"",VLOOKUP(Tables!H17,Tables!$AX$2:$BA$53,3,0))</f>
        <v>13</v>
      </c>
      <c r="AV17" s="10" t="str">
        <f>IF(ISBLANK(Tables!H17),"",VLOOKUP(Tables!H17,Tables!$AX$2:$BA$53,4,0))</f>
        <v>♠</v>
      </c>
    </row>
    <row r="18" spans="27:62" ht="15.75" thickBot="1" x14ac:dyDescent="0.3">
      <c r="AA18" s="16" t="s">
        <v>174</v>
      </c>
      <c r="AB18" s="11">
        <v>1</v>
      </c>
      <c r="AC18" s="12">
        <v>2</v>
      </c>
      <c r="AD18" s="12">
        <v>3</v>
      </c>
      <c r="AE18" s="12">
        <v>4</v>
      </c>
      <c r="AF18" s="12">
        <v>5</v>
      </c>
      <c r="AG18" s="12">
        <v>6</v>
      </c>
      <c r="AH18" s="12">
        <v>7</v>
      </c>
      <c r="AI18" s="12">
        <v>8</v>
      </c>
      <c r="AJ18" s="12">
        <v>9</v>
      </c>
      <c r="AK18" s="12">
        <v>10</v>
      </c>
      <c r="AL18" s="12">
        <v>11</v>
      </c>
      <c r="AM18" s="12">
        <v>12</v>
      </c>
      <c r="AN18" s="13">
        <v>13</v>
      </c>
      <c r="AT18" s="10">
        <v>17</v>
      </c>
      <c r="AU18" s="10">
        <f>IF(ISBLANK(Tables!H18),"",VLOOKUP(Tables!H18,Tables!$AX$2:$BA$53,3,0))</f>
        <v>6</v>
      </c>
      <c r="AV18" s="10" t="str">
        <f>IF(ISBLANK(Tables!H18),"",VLOOKUP(Tables!H18,Tables!$AX$2:$BA$53,4,0))</f>
        <v>♦</v>
      </c>
      <c r="BB18" s="316" t="s">
        <v>98</v>
      </c>
      <c r="BC18" s="313" t="s">
        <v>103</v>
      </c>
      <c r="BD18" s="314"/>
      <c r="BE18" s="314"/>
      <c r="BF18" s="315"/>
      <c r="BG18" s="313" t="s">
        <v>104</v>
      </c>
      <c r="BH18" s="314"/>
      <c r="BI18" s="314"/>
      <c r="BJ18" s="315"/>
    </row>
    <row r="19" spans="27:62" ht="15.75" thickBot="1" x14ac:dyDescent="0.3">
      <c r="AA19" s="7">
        <v>1</v>
      </c>
      <c r="AB19" s="1" t="str">
        <f>IF(ISBLANK(Tables!K2),"",VLOOKUP(Tables!K2,Tables!$AX$2:$BA$53,4,0))</f>
        <v>♦</v>
      </c>
      <c r="AC19" s="2" t="str">
        <f>IF(ISBLANK(Tables!L2),"",VLOOKUP(Tables!L2,Tables!$AX$2:$BA$53,4,0))</f>
        <v>♠</v>
      </c>
      <c r="AD19" s="2" t="str">
        <f>IF(ISBLANK(Tables!M2),"",VLOOKUP(Tables!M2,Tables!$AX$2:$BA$53,4,0))</f>
        <v>♣</v>
      </c>
      <c r="AE19" s="2" t="str">
        <f>IF(ISBLANK(Tables!N2),"",VLOOKUP(Tables!N2,Tables!$AX$2:$BA$53,4,0))</f>
        <v>♣</v>
      </c>
      <c r="AF19" s="2" t="str">
        <f>IF(ISBLANK(Tables!O2),"",VLOOKUP(Tables!O2,Tables!$AX$2:$BA$53,4,0))</f>
        <v>♣</v>
      </c>
      <c r="AG19" s="2" t="str">
        <f>IF(ISBLANK(Tables!P2),"",VLOOKUP(Tables!P2,Tables!$AX$2:$BA$53,4,0))</f>
        <v>♦</v>
      </c>
      <c r="AH19" s="2" t="str">
        <f>IF(ISBLANK(Tables!Q2),"",VLOOKUP(Tables!Q2,Tables!$AX$2:$BA$53,4,0))</f>
        <v>♠</v>
      </c>
      <c r="AI19" s="2" t="str">
        <f>IF(ISBLANK(Tables!R2),"",VLOOKUP(Tables!R2,Tables!$AX$2:$BA$53,4,0))</f>
        <v>♥</v>
      </c>
      <c r="AJ19" s="2" t="str">
        <f>IF(ISBLANK(Tables!S2),"",VLOOKUP(Tables!S2,Tables!$AX$2:$BA$53,4,0))</f>
        <v>♦</v>
      </c>
      <c r="AK19" s="2" t="str">
        <f>IF(ISBLANK(Tables!T2),"",VLOOKUP(Tables!T2,Tables!$AX$2:$BA$53,4,0))</f>
        <v>♥</v>
      </c>
      <c r="AL19" s="2" t="str">
        <f>IF(ISBLANK(Tables!U2),"",VLOOKUP(Tables!U2,Tables!$AX$2:$BA$53,4,0))</f>
        <v>♠</v>
      </c>
      <c r="AM19" s="2" t="str">
        <f>IF(ISBLANK(Tables!V2),"",VLOOKUP(Tables!V2,Tables!$AX$2:$BA$53,4,0))</f>
        <v>♥</v>
      </c>
      <c r="AN19" s="3" t="str">
        <f>IF(ISBLANK(Tables!W2),"",VLOOKUP(Tables!W2,Tables!$AX$2:$BA$53,4,0))</f>
        <v>♥</v>
      </c>
      <c r="AT19" s="10">
        <v>18</v>
      </c>
      <c r="AU19" s="10">
        <f>IF(ISBLANK(Tables!H19),"",VLOOKUP(Tables!H19,Tables!$AX$2:$BA$53,3,0))</f>
        <v>3</v>
      </c>
      <c r="AV19" s="10" t="str">
        <f>IF(ISBLANK(Tables!H19),"",VLOOKUP(Tables!H19,Tables!$AX$2:$BA$53,4,0))</f>
        <v>♦</v>
      </c>
      <c r="BB19" s="317"/>
      <c r="BC19" s="163" t="s">
        <v>14</v>
      </c>
      <c r="BD19" s="164" t="s">
        <v>15</v>
      </c>
      <c r="BE19" s="165" t="s">
        <v>17</v>
      </c>
      <c r="BF19" s="166" t="s">
        <v>16</v>
      </c>
      <c r="BG19" s="165" t="s">
        <v>14</v>
      </c>
      <c r="BH19" s="164" t="s">
        <v>15</v>
      </c>
      <c r="BI19" s="165" t="s">
        <v>17</v>
      </c>
      <c r="BJ19" s="166" t="s">
        <v>16</v>
      </c>
    </row>
    <row r="20" spans="27:62" x14ac:dyDescent="0.25">
      <c r="AA20" s="10">
        <v>2</v>
      </c>
      <c r="AB20" s="14" t="str">
        <f>IF(ISBLANK(Tables!K3),"",VLOOKUP(Tables!K3,Tables!$AX$2:$BA$53,4,0))</f>
        <v>♠</v>
      </c>
      <c r="AC20" t="str">
        <f>IF(ISBLANK(Tables!L3),"",VLOOKUP(Tables!L3,Tables!$AX$2:$BA$53,4,0))</f>
        <v>♣</v>
      </c>
      <c r="AD20" t="str">
        <f>IF(ISBLANK(Tables!M3),"",VLOOKUP(Tables!M3,Tables!$AX$2:$BA$53,4,0))</f>
        <v>♠</v>
      </c>
      <c r="AE20" t="str">
        <f>IF(ISBLANK(Tables!N3),"",VLOOKUP(Tables!N3,Tables!$AX$2:$BA$53,4,0))</f>
        <v>♦</v>
      </c>
      <c r="AF20" t="str">
        <f>IF(ISBLANK(Tables!O3),"",VLOOKUP(Tables!O3,Tables!$AX$2:$BA$53,4,0))</f>
        <v>♣</v>
      </c>
      <c r="AG20" t="str">
        <f>IF(ISBLANK(Tables!P3),"",VLOOKUP(Tables!P3,Tables!$AX$2:$BA$53,4,0))</f>
        <v>♦</v>
      </c>
      <c r="AH20" t="str">
        <f>IF(ISBLANK(Tables!Q3),"",VLOOKUP(Tables!Q3,Tables!$AX$2:$BA$53,4,0))</f>
        <v>♥</v>
      </c>
      <c r="AI20" t="str">
        <f>IF(ISBLANK(Tables!R3),"",VLOOKUP(Tables!R3,Tables!$AX$2:$BA$53,4,0))</f>
        <v>♠</v>
      </c>
      <c r="AJ20" t="str">
        <f>IF(ISBLANK(Tables!S3),"",VLOOKUP(Tables!S3,Tables!$AX$2:$BA$53,4,0))</f>
        <v>♠</v>
      </c>
      <c r="AK20" t="str">
        <f>IF(ISBLANK(Tables!T3),"",VLOOKUP(Tables!T3,Tables!$AX$2:$BA$53,4,0))</f>
        <v>♦</v>
      </c>
      <c r="AL20" t="str">
        <f>IF(ISBLANK(Tables!U3),"",VLOOKUP(Tables!U3,Tables!$AX$2:$BA$53,4,0))</f>
        <v>♥</v>
      </c>
      <c r="AM20" t="str">
        <f>IF(ISBLANK(Tables!V3),"",VLOOKUP(Tables!V3,Tables!$AX$2:$BA$53,4,0))</f>
        <v>♦</v>
      </c>
      <c r="AN20" s="15" t="str">
        <f>IF(ISBLANK(Tables!W3),"",VLOOKUP(Tables!W3,Tables!$AX$2:$BA$53,4,0))</f>
        <v>♣</v>
      </c>
      <c r="AT20" s="10">
        <v>19</v>
      </c>
      <c r="AU20" s="10">
        <f>IF(ISBLANK(Tables!H20),"",VLOOKUP(Tables!H20,Tables!$AX$2:$BA$53,3,0))</f>
        <v>4</v>
      </c>
      <c r="AV20" s="10" t="str">
        <f>IF(ISBLANK(Tables!H20),"",VLOOKUP(Tables!H20,Tables!$AX$2:$BA$53,4,0))</f>
        <v>♥</v>
      </c>
      <c r="BB20" s="161">
        <v>1</v>
      </c>
      <c r="BC20" s="135" t="str">
        <f>IF(ISBLANK(Tables!AF2),"",VLOOKUP(Tables!AF2,Tables!$AX$2:$BA$53,4,0))</f>
        <v/>
      </c>
      <c r="BD20" s="8" t="str">
        <f>IF(ISBLANK(Tables!AG2),"",VLOOKUP(Tables!AG2,Tables!$AX$2:$BA$53,4,0))</f>
        <v/>
      </c>
      <c r="BE20" s="8" t="str">
        <f>IF(ISBLANK(Tables!AH2),"",VLOOKUP(Tables!AH2,Tables!$AX$2:$BA$53,4,0))</f>
        <v/>
      </c>
      <c r="BF20" s="162" t="str">
        <f>IF(ISBLANK(Tables!AI2),"",VLOOKUP(Tables!AI2,Tables!$AX$2:$BA$53,4,0))</f>
        <v/>
      </c>
      <c r="BG20" s="8" t="str">
        <f>IF(ISBLANK(Tables!AL2),"",VLOOKUP(Tables!AL2,Tables!$AX$2:$BA$53,4,0))</f>
        <v/>
      </c>
      <c r="BH20" s="8" t="str">
        <f>IF(ISBLANK(Tables!AM2),"",VLOOKUP(Tables!AM2,Tables!$AX$2:$BA$53,4,0))</f>
        <v/>
      </c>
      <c r="BI20" s="8" t="str">
        <f>IF(ISBLANK(Tables!AN2),"",VLOOKUP(Tables!AN2,Tables!$AX$2:$BA$53,4,0))</f>
        <v/>
      </c>
      <c r="BJ20" s="162" t="str">
        <f>IF(ISBLANK(Tables!AO2),"",VLOOKUP(Tables!AO2,Tables!$AX$2:$BA$53,4,0))</f>
        <v/>
      </c>
    </row>
    <row r="21" spans="27:62" x14ac:dyDescent="0.25">
      <c r="AA21" s="10">
        <v>3</v>
      </c>
      <c r="AB21" s="14" t="str">
        <f>IF(ISBLANK(Tables!K4),"",VLOOKUP(Tables!K4,Tables!$AX$2:$BA$53,4,0))</f>
        <v>♣</v>
      </c>
      <c r="AC21" t="str">
        <f>IF(ISBLANK(Tables!L4),"",VLOOKUP(Tables!L4,Tables!$AX$2:$BA$53,4,0))</f>
        <v>♦</v>
      </c>
      <c r="AD21" t="str">
        <f>IF(ISBLANK(Tables!M4),"",VLOOKUP(Tables!M4,Tables!$AX$2:$BA$53,4,0))</f>
        <v>♥</v>
      </c>
      <c r="AE21" t="str">
        <f>IF(ISBLANK(Tables!N4),"",VLOOKUP(Tables!N4,Tables!$AX$2:$BA$53,4,0))</f>
        <v>♠</v>
      </c>
      <c r="AF21" t="str">
        <f>IF(ISBLANK(Tables!O4),"",VLOOKUP(Tables!O4,Tables!$AX$2:$BA$53,4,0))</f>
        <v>♣</v>
      </c>
      <c r="AG21" t="str">
        <f>IF(ISBLANK(Tables!P4),"",VLOOKUP(Tables!P4,Tables!$AX$2:$BA$53,4,0))</f>
        <v>♥</v>
      </c>
      <c r="AH21" t="str">
        <f>IF(ISBLANK(Tables!Q4),"",VLOOKUP(Tables!Q4,Tables!$AX$2:$BA$53,4,0))</f>
        <v>♣</v>
      </c>
      <c r="AI21" t="str">
        <f>IF(ISBLANK(Tables!R4),"",VLOOKUP(Tables!R4,Tables!$AX$2:$BA$53,4,0))</f>
        <v>♦</v>
      </c>
      <c r="AJ21" t="str">
        <f>IF(ISBLANK(Tables!S4),"",VLOOKUP(Tables!S4,Tables!$AX$2:$BA$53,4,0))</f>
        <v>♥</v>
      </c>
      <c r="AK21" t="str">
        <f>IF(ISBLANK(Tables!T4),"",VLOOKUP(Tables!T4,Tables!$AX$2:$BA$53,4,0))</f>
        <v>♥</v>
      </c>
      <c r="AL21" t="str">
        <f>IF(ISBLANK(Tables!U4),"",VLOOKUP(Tables!U4,Tables!$AX$2:$BA$53,4,0))</f>
        <v>♠</v>
      </c>
      <c r="AM21" t="str">
        <f>IF(ISBLANK(Tables!V4),"",VLOOKUP(Tables!V4,Tables!$AX$2:$BA$53,4,0))</f>
        <v>♥</v>
      </c>
      <c r="AN21" s="15" t="str">
        <f>IF(ISBLANK(Tables!W4),"",VLOOKUP(Tables!W4,Tables!$AX$2:$BA$53,4,0))</f>
        <v>♠</v>
      </c>
      <c r="AT21" s="10">
        <v>20</v>
      </c>
      <c r="AU21" s="10">
        <f>IF(ISBLANK(Tables!H21),"",VLOOKUP(Tables!H21,Tables!$AX$2:$BA$53,3,0))</f>
        <v>3</v>
      </c>
      <c r="AV21" s="10" t="str">
        <f>IF(ISBLANK(Tables!H21),"",VLOOKUP(Tables!H21,Tables!$AX$2:$BA$53,4,0))</f>
        <v>♥</v>
      </c>
      <c r="BB21" s="137">
        <v>2</v>
      </c>
      <c r="BC21" s="112" t="str">
        <f>IF(ISBLANK(Tables!AF3),"",VLOOKUP(Tables!AF3,Tables!$AX$2:$BA$53,4,0))</f>
        <v/>
      </c>
      <c r="BD21" s="16" t="str">
        <f>IF(ISBLANK(Tables!AG3),"",VLOOKUP(Tables!AG3,Tables!$AX$2:$BA$53,4,0))</f>
        <v/>
      </c>
      <c r="BE21" s="16" t="str">
        <f>IF(ISBLANK(Tables!AH3),"",VLOOKUP(Tables!AH3,Tables!$AX$2:$BA$53,4,0))</f>
        <v/>
      </c>
      <c r="BF21" s="113" t="str">
        <f>IF(ISBLANK(Tables!AI3),"",VLOOKUP(Tables!AI3,Tables!$AX$2:$BA$53,4,0))</f>
        <v/>
      </c>
      <c r="BG21" s="16" t="str">
        <f>IF(ISBLANK(Tables!AL3),"",VLOOKUP(Tables!AL3,Tables!$AX$2:$BA$53,4,0))</f>
        <v/>
      </c>
      <c r="BH21" s="16" t="str">
        <f>IF(ISBLANK(Tables!AM3),"",VLOOKUP(Tables!AM3,Tables!$AX$2:$BA$53,4,0))</f>
        <v/>
      </c>
      <c r="BI21" s="16" t="str">
        <f>IF(ISBLANK(Tables!AN3),"",VLOOKUP(Tables!AN3,Tables!$AX$2:$BA$53,4,0))</f>
        <v/>
      </c>
      <c r="BJ21" s="113" t="str">
        <f>IF(ISBLANK(Tables!AO3),"",VLOOKUP(Tables!AO3,Tables!$AX$2:$BA$53,4,0))</f>
        <v/>
      </c>
    </row>
    <row r="22" spans="27:62" x14ac:dyDescent="0.25">
      <c r="AA22" s="10">
        <v>4</v>
      </c>
      <c r="AB22" s="14" t="str">
        <f>IF(ISBLANK(Tables!K5),"",VLOOKUP(Tables!K5,Tables!$AX$2:$BA$53,4,0))</f>
        <v>♠</v>
      </c>
      <c r="AC22" t="str">
        <f>IF(ISBLANK(Tables!L5),"",VLOOKUP(Tables!L5,Tables!$AX$2:$BA$53,4,0))</f>
        <v>♦</v>
      </c>
      <c r="AD22" t="str">
        <f>IF(ISBLANK(Tables!M5),"",VLOOKUP(Tables!M5,Tables!$AX$2:$BA$53,4,0))</f>
        <v>♦</v>
      </c>
      <c r="AE22" t="str">
        <f>IF(ISBLANK(Tables!N5),"",VLOOKUP(Tables!N5,Tables!$AX$2:$BA$53,4,0))</f>
        <v>♣</v>
      </c>
      <c r="AF22" t="str">
        <f>IF(ISBLANK(Tables!O5),"",VLOOKUP(Tables!O5,Tables!$AX$2:$BA$53,4,0))</f>
        <v>♥</v>
      </c>
      <c r="AG22" t="str">
        <f>IF(ISBLANK(Tables!P5),"",VLOOKUP(Tables!P5,Tables!$AX$2:$BA$53,4,0))</f>
        <v>♣</v>
      </c>
      <c r="AH22" t="str">
        <f>IF(ISBLANK(Tables!Q5),"",VLOOKUP(Tables!Q5,Tables!$AX$2:$BA$53,4,0))</f>
        <v>♣</v>
      </c>
      <c r="AI22" t="str">
        <f>IF(ISBLANK(Tables!R5),"",VLOOKUP(Tables!R5,Tables!$AX$2:$BA$53,4,0))</f>
        <v>♦</v>
      </c>
      <c r="AJ22" t="str">
        <f>IF(ISBLANK(Tables!S5),"",VLOOKUP(Tables!S5,Tables!$AX$2:$BA$53,4,0))</f>
        <v>♣</v>
      </c>
      <c r="AK22" t="str">
        <f>IF(ISBLANK(Tables!T5),"",VLOOKUP(Tables!T5,Tables!$AX$2:$BA$53,4,0))</f>
        <v>♠</v>
      </c>
      <c r="AL22" t="str">
        <f>IF(ISBLANK(Tables!U5),"",VLOOKUP(Tables!U5,Tables!$AX$2:$BA$53,4,0))</f>
        <v>♣</v>
      </c>
      <c r="AM22" t="str">
        <f>IF(ISBLANK(Tables!V5),"",VLOOKUP(Tables!V5,Tables!$AX$2:$BA$53,4,0))</f>
        <v>♥</v>
      </c>
      <c r="AN22" s="15" t="str">
        <f>IF(ISBLANK(Tables!W5),"",VLOOKUP(Tables!W5,Tables!$AX$2:$BA$53,4,0))</f>
        <v>♣</v>
      </c>
      <c r="AT22" s="10">
        <v>21</v>
      </c>
      <c r="AU22" s="10">
        <f>IF(ISBLANK(Tables!H22),"",VLOOKUP(Tables!H22,Tables!$AX$2:$BA$53,3,0))</f>
        <v>5</v>
      </c>
      <c r="AV22" s="10" t="str">
        <f>IF(ISBLANK(Tables!H22),"",VLOOKUP(Tables!H22,Tables!$AX$2:$BA$53,4,0))</f>
        <v>♣</v>
      </c>
      <c r="BB22" s="137">
        <v>3</v>
      </c>
      <c r="BC22" s="112" t="str">
        <f>IF(ISBLANK(Tables!AF4),"",VLOOKUP(Tables!AF4,Tables!$AX$2:$BA$53,4,0))</f>
        <v/>
      </c>
      <c r="BD22" s="16" t="str">
        <f>IF(ISBLANK(Tables!AG4),"",VLOOKUP(Tables!AG4,Tables!$AX$2:$BA$53,4,0))</f>
        <v/>
      </c>
      <c r="BE22" s="16" t="str">
        <f>IF(ISBLANK(Tables!AH4),"",VLOOKUP(Tables!AH4,Tables!$AX$2:$BA$53,4,0))</f>
        <v/>
      </c>
      <c r="BF22" s="113" t="str">
        <f>IF(ISBLANK(Tables!AI4),"",VLOOKUP(Tables!AI4,Tables!$AX$2:$BA$53,4,0))</f>
        <v/>
      </c>
      <c r="BG22" s="16" t="str">
        <f>IF(ISBLANK(Tables!AL4),"",VLOOKUP(Tables!AL4,Tables!$AX$2:$BA$53,4,0))</f>
        <v/>
      </c>
      <c r="BH22" s="16" t="str">
        <f>IF(ISBLANK(Tables!AM4),"",VLOOKUP(Tables!AM4,Tables!$AX$2:$BA$53,4,0))</f>
        <v/>
      </c>
      <c r="BI22" s="16" t="str">
        <f>IF(ISBLANK(Tables!AN4),"",VLOOKUP(Tables!AN4,Tables!$AX$2:$BA$53,4,0))</f>
        <v/>
      </c>
      <c r="BJ22" s="113" t="str">
        <f>IF(ISBLANK(Tables!AO4),"",VLOOKUP(Tables!AO4,Tables!$AX$2:$BA$53,4,0))</f>
        <v/>
      </c>
    </row>
    <row r="23" spans="27:62" x14ac:dyDescent="0.25">
      <c r="AA23" s="10">
        <v>5</v>
      </c>
      <c r="AB23" s="14" t="str">
        <f>IF(ISBLANK(Tables!K6),"",VLOOKUP(Tables!K6,Tables!$AX$2:$BA$53,4,0))</f>
        <v>♥</v>
      </c>
      <c r="AC23" t="str">
        <f>IF(ISBLANK(Tables!L6),"",VLOOKUP(Tables!L6,Tables!$AX$2:$BA$53,4,0))</f>
        <v>♦</v>
      </c>
      <c r="AD23" t="str">
        <f>IF(ISBLANK(Tables!M6),"",VLOOKUP(Tables!M6,Tables!$AX$2:$BA$53,4,0))</f>
        <v>♥</v>
      </c>
      <c r="AE23" t="str">
        <f>IF(ISBLANK(Tables!N6),"",VLOOKUP(Tables!N6,Tables!$AX$2:$BA$53,4,0))</f>
        <v>♦</v>
      </c>
      <c r="AF23" t="str">
        <f>IF(ISBLANK(Tables!O6),"",VLOOKUP(Tables!O6,Tables!$AX$2:$BA$53,4,0))</f>
        <v>♠</v>
      </c>
      <c r="AG23" t="str">
        <f>IF(ISBLANK(Tables!P6),"",VLOOKUP(Tables!P6,Tables!$AX$2:$BA$53,4,0))</f>
        <v>♠</v>
      </c>
      <c r="AH23" t="str">
        <f>IF(ISBLANK(Tables!Q6),"",VLOOKUP(Tables!Q6,Tables!$AX$2:$BA$53,4,0))</f>
        <v>♥</v>
      </c>
      <c r="AI23" t="str">
        <f>IF(ISBLANK(Tables!R6),"",VLOOKUP(Tables!R6,Tables!$AX$2:$BA$53,4,0))</f>
        <v>♥</v>
      </c>
      <c r="AJ23" t="str">
        <f>IF(ISBLANK(Tables!S6),"",VLOOKUP(Tables!S6,Tables!$AX$2:$BA$53,4,0))</f>
        <v>♥</v>
      </c>
      <c r="AK23" t="str">
        <f>IF(ISBLANK(Tables!T6),"",VLOOKUP(Tables!T6,Tables!$AX$2:$BA$53,4,0))</f>
        <v>♠</v>
      </c>
      <c r="AL23" t="str">
        <f>IF(ISBLANK(Tables!U6),"",VLOOKUP(Tables!U6,Tables!$AX$2:$BA$53,4,0))</f>
        <v>♦</v>
      </c>
      <c r="AM23" t="str">
        <f>IF(ISBLANK(Tables!V6),"",VLOOKUP(Tables!V6,Tables!$AX$2:$BA$53,4,0))</f>
        <v>♠</v>
      </c>
      <c r="AN23" s="15" t="str">
        <f>IF(ISBLANK(Tables!W6),"",VLOOKUP(Tables!W6,Tables!$AX$2:$BA$53,4,0))</f>
        <v>♥</v>
      </c>
      <c r="AT23" s="10">
        <v>22</v>
      </c>
      <c r="AU23" s="10">
        <f>IF(ISBLANK(Tables!H23),"",VLOOKUP(Tables!H23,Tables!$AX$2:$BA$53,3,0))</f>
        <v>7</v>
      </c>
      <c r="AV23" s="10" t="str">
        <f>IF(ISBLANK(Tables!H23),"",VLOOKUP(Tables!H23,Tables!$AX$2:$BA$53,4,0))</f>
        <v>♥</v>
      </c>
      <c r="BB23" s="137">
        <v>4</v>
      </c>
      <c r="BC23" s="112" t="str">
        <f>IF(ISBLANK(Tables!AF5),"",VLOOKUP(Tables!AF5,Tables!$AX$2:$BA$53,4,0))</f>
        <v/>
      </c>
      <c r="BD23" s="16" t="str">
        <f>IF(ISBLANK(Tables!AG5),"",VLOOKUP(Tables!AG5,Tables!$AX$2:$BA$53,4,0))</f>
        <v/>
      </c>
      <c r="BE23" s="16" t="str">
        <f>IF(ISBLANK(Tables!AH5),"",VLOOKUP(Tables!AH5,Tables!$AX$2:$BA$53,4,0))</f>
        <v/>
      </c>
      <c r="BF23" s="113" t="str">
        <f>IF(ISBLANK(Tables!AI5),"",VLOOKUP(Tables!AI5,Tables!$AX$2:$BA$53,4,0))</f>
        <v/>
      </c>
      <c r="BG23" s="16" t="str">
        <f>IF(ISBLANK(Tables!AL5),"",VLOOKUP(Tables!AL5,Tables!$AX$2:$BA$53,4,0))</f>
        <v/>
      </c>
      <c r="BH23" s="16" t="str">
        <f>IF(ISBLANK(Tables!AM5),"",VLOOKUP(Tables!AM5,Tables!$AX$2:$BA$53,4,0))</f>
        <v/>
      </c>
      <c r="BI23" s="16" t="str">
        <f>IF(ISBLANK(Tables!AN5),"",VLOOKUP(Tables!AN5,Tables!$AX$2:$BA$53,4,0))</f>
        <v/>
      </c>
      <c r="BJ23" s="113" t="str">
        <f>IF(ISBLANK(Tables!AO5),"",VLOOKUP(Tables!AO5,Tables!$AX$2:$BA$53,4,0))</f>
        <v/>
      </c>
    </row>
    <row r="24" spans="27:62" x14ac:dyDescent="0.25">
      <c r="AA24" s="10">
        <v>6</v>
      </c>
      <c r="AB24" s="14" t="str">
        <f>IF(ISBLANK(Tables!K7),"",VLOOKUP(Tables!K7,Tables!$AX$2:$BA$53,4,0))</f>
        <v>♣</v>
      </c>
      <c r="AC24" t="str">
        <f>IF(ISBLANK(Tables!L7),"",VLOOKUP(Tables!L7,Tables!$AX$2:$BA$53,4,0))</f>
        <v>♦</v>
      </c>
      <c r="AD24" t="str">
        <f>IF(ISBLANK(Tables!M7),"",VLOOKUP(Tables!M7,Tables!$AX$2:$BA$53,4,0))</f>
        <v>♠</v>
      </c>
      <c r="AE24" t="str">
        <f>IF(ISBLANK(Tables!N7),"",VLOOKUP(Tables!N7,Tables!$AX$2:$BA$53,4,0))</f>
        <v>♠</v>
      </c>
      <c r="AF24" t="str">
        <f>IF(ISBLANK(Tables!O7),"",VLOOKUP(Tables!O7,Tables!$AX$2:$BA$53,4,0))</f>
        <v>♥</v>
      </c>
      <c r="AG24" t="str">
        <f>IF(ISBLANK(Tables!P7),"",VLOOKUP(Tables!P7,Tables!$AX$2:$BA$53,4,0))</f>
        <v>♣</v>
      </c>
      <c r="AH24" t="str">
        <f>IF(ISBLANK(Tables!Q7),"",VLOOKUP(Tables!Q7,Tables!$AX$2:$BA$53,4,0))</f>
        <v>♦</v>
      </c>
      <c r="AI24" t="str">
        <f>IF(ISBLANK(Tables!R7),"",VLOOKUP(Tables!R7,Tables!$AX$2:$BA$53,4,0))</f>
        <v>♠</v>
      </c>
      <c r="AJ24" t="str">
        <f>IF(ISBLANK(Tables!S7),"",VLOOKUP(Tables!S7,Tables!$AX$2:$BA$53,4,0))</f>
        <v>♦</v>
      </c>
      <c r="AK24" t="str">
        <f>IF(ISBLANK(Tables!T7),"",VLOOKUP(Tables!T7,Tables!$AX$2:$BA$53,4,0))</f>
        <v>♣</v>
      </c>
      <c r="AL24" t="str">
        <f>IF(ISBLANK(Tables!U7),"",VLOOKUP(Tables!U7,Tables!$AX$2:$BA$53,4,0))</f>
        <v>♣</v>
      </c>
      <c r="AM24" t="str">
        <f>IF(ISBLANK(Tables!V7),"",VLOOKUP(Tables!V7,Tables!$AX$2:$BA$53,4,0))</f>
        <v>♠</v>
      </c>
      <c r="AN24" s="15" t="str">
        <f>IF(ISBLANK(Tables!W7),"",VLOOKUP(Tables!W7,Tables!$AX$2:$BA$53,4,0))</f>
        <v>♦</v>
      </c>
      <c r="AT24" s="10">
        <v>23</v>
      </c>
      <c r="AU24" s="10">
        <f>IF(ISBLANK(Tables!H24),"",VLOOKUP(Tables!H24,Tables!$AX$2:$BA$53,3,0))</f>
        <v>11</v>
      </c>
      <c r="AV24" s="10" t="str">
        <f>IF(ISBLANK(Tables!H24),"",VLOOKUP(Tables!H24,Tables!$AX$2:$BA$53,4,0))</f>
        <v>♦</v>
      </c>
      <c r="BB24" s="137">
        <v>5</v>
      </c>
      <c r="BC24" s="112" t="str">
        <f>IF(ISBLANK(Tables!AF6),"",VLOOKUP(Tables!AF6,Tables!$AX$2:$BA$53,4,0))</f>
        <v/>
      </c>
      <c r="BD24" s="16" t="str">
        <f>IF(ISBLANK(Tables!AG6),"",VLOOKUP(Tables!AG6,Tables!$AX$2:$BA$53,4,0))</f>
        <v/>
      </c>
      <c r="BE24" s="16" t="str">
        <f>IF(ISBLANK(Tables!AH6),"",VLOOKUP(Tables!AH6,Tables!$AX$2:$BA$53,4,0))</f>
        <v/>
      </c>
      <c r="BF24" s="113" t="str">
        <f>IF(ISBLANK(Tables!AI6),"",VLOOKUP(Tables!AI6,Tables!$AX$2:$BA$53,4,0))</f>
        <v/>
      </c>
      <c r="BG24" s="16" t="str">
        <f>IF(ISBLANK(Tables!AL6),"",VLOOKUP(Tables!AL6,Tables!$AX$2:$BA$53,4,0))</f>
        <v/>
      </c>
      <c r="BH24" s="16" t="str">
        <f>IF(ISBLANK(Tables!AM6),"",VLOOKUP(Tables!AM6,Tables!$AX$2:$BA$53,4,0))</f>
        <v/>
      </c>
      <c r="BI24" s="16" t="str">
        <f>IF(ISBLANK(Tables!AN6),"",VLOOKUP(Tables!AN6,Tables!$AX$2:$BA$53,4,0))</f>
        <v/>
      </c>
      <c r="BJ24" s="113" t="str">
        <f>IF(ISBLANK(Tables!AO6),"",VLOOKUP(Tables!AO6,Tables!$AX$2:$BA$53,4,0))</f>
        <v/>
      </c>
    </row>
    <row r="25" spans="27:62" x14ac:dyDescent="0.25">
      <c r="AA25" s="10">
        <v>7</v>
      </c>
      <c r="AB25" s="14" t="str">
        <f>IF(ISBLANK(Tables!K8),"",VLOOKUP(Tables!K8,Tables!$AX$2:$BA$53,4,0))</f>
        <v>♣</v>
      </c>
      <c r="AC25" t="str">
        <f>IF(ISBLANK(Tables!L8),"",VLOOKUP(Tables!L8,Tables!$AX$2:$BA$53,4,0))</f>
        <v>♠</v>
      </c>
      <c r="AD25" t="str">
        <f>IF(ISBLANK(Tables!M8),"",VLOOKUP(Tables!M8,Tables!$AX$2:$BA$53,4,0))</f>
        <v>♠</v>
      </c>
      <c r="AE25" t="str">
        <f>IF(ISBLANK(Tables!N8),"",VLOOKUP(Tables!N8,Tables!$AX$2:$BA$53,4,0))</f>
        <v/>
      </c>
      <c r="AF25" t="str">
        <f>IF(ISBLANK(Tables!O8),"",VLOOKUP(Tables!O8,Tables!$AX$2:$BA$53,4,0))</f>
        <v/>
      </c>
      <c r="AG25" t="str">
        <f>IF(ISBLANK(Tables!P8),"",VLOOKUP(Tables!P8,Tables!$AX$2:$BA$53,4,0))</f>
        <v/>
      </c>
      <c r="AH25" t="str">
        <f>IF(ISBLANK(Tables!Q8),"",VLOOKUP(Tables!Q8,Tables!$AX$2:$BA$53,4,0))</f>
        <v/>
      </c>
      <c r="AI25" t="str">
        <f>IF(ISBLANK(Tables!R8),"",VLOOKUP(Tables!R8,Tables!$AX$2:$BA$53,4,0))</f>
        <v/>
      </c>
      <c r="AJ25" t="str">
        <f>IF(ISBLANK(Tables!S8),"",VLOOKUP(Tables!S8,Tables!$AX$2:$BA$53,4,0))</f>
        <v/>
      </c>
      <c r="AK25" t="str">
        <f>IF(ISBLANK(Tables!T8),"",VLOOKUP(Tables!T8,Tables!$AX$2:$BA$53,4,0))</f>
        <v/>
      </c>
      <c r="AL25" t="str">
        <f>IF(ISBLANK(Tables!U8),"",VLOOKUP(Tables!U8,Tables!$AX$2:$BA$53,4,0))</f>
        <v/>
      </c>
      <c r="AM25" t="str">
        <f>IF(ISBLANK(Tables!V8),"",VLOOKUP(Tables!V8,Tables!$AX$2:$BA$53,4,0))</f>
        <v/>
      </c>
      <c r="AN25" s="15" t="str">
        <f>IF(ISBLANK(Tables!W8),"",VLOOKUP(Tables!W8,Tables!$AX$2:$BA$53,4,0))</f>
        <v/>
      </c>
      <c r="AT25" s="10">
        <v>24</v>
      </c>
      <c r="AU25" s="10" t="str">
        <f>IF(ISBLANK(Tables!H25),"",VLOOKUP(Tables!H25,Tables!$AX$2:$BA$53,3,0))</f>
        <v/>
      </c>
      <c r="AV25" s="10" t="str">
        <f>IF(ISBLANK(Tables!H25),"",VLOOKUP(Tables!H25,Tables!$AX$2:$BA$53,4,0))</f>
        <v/>
      </c>
      <c r="BB25" s="137">
        <v>6</v>
      </c>
      <c r="BC25" s="112" t="str">
        <f>IF(ISBLANK(Tables!AF7),"",VLOOKUP(Tables!AF7,Tables!$AX$2:$BA$53,4,0))</f>
        <v/>
      </c>
      <c r="BD25" s="16" t="str">
        <f>IF(ISBLANK(Tables!AG7),"",VLOOKUP(Tables!AG7,Tables!$AX$2:$BA$53,4,0))</f>
        <v/>
      </c>
      <c r="BE25" s="16" t="str">
        <f>IF(ISBLANK(Tables!AH7),"",VLOOKUP(Tables!AH7,Tables!$AX$2:$BA$53,4,0))</f>
        <v/>
      </c>
      <c r="BF25" s="113" t="str">
        <f>IF(ISBLANK(Tables!AI7),"",VLOOKUP(Tables!AI7,Tables!$AX$2:$BA$53,4,0))</f>
        <v/>
      </c>
      <c r="BG25" s="16" t="str">
        <f>IF(ISBLANK(Tables!AL7),"",VLOOKUP(Tables!AL7,Tables!$AX$2:$BA$53,4,0))</f>
        <v/>
      </c>
      <c r="BH25" s="16" t="str">
        <f>IF(ISBLANK(Tables!AM7),"",VLOOKUP(Tables!AM7,Tables!$AX$2:$BA$53,4,0))</f>
        <v/>
      </c>
      <c r="BI25" s="16" t="str">
        <f>IF(ISBLANK(Tables!AN7),"",VLOOKUP(Tables!AN7,Tables!$AX$2:$BA$53,4,0))</f>
        <v/>
      </c>
      <c r="BJ25" s="113" t="str">
        <f>IF(ISBLANK(Tables!AO7),"",VLOOKUP(Tables!AO7,Tables!$AX$2:$BA$53,4,0))</f>
        <v/>
      </c>
    </row>
    <row r="26" spans="27:62" x14ac:dyDescent="0.25">
      <c r="AA26" s="10">
        <v>8</v>
      </c>
      <c r="AB26" s="14" t="str">
        <f>IF(ISBLANK(Tables!K9),"",VLOOKUP(Tables!K9,Tables!$AX$2:$BA$53,4,0))</f>
        <v/>
      </c>
      <c r="AC26" t="str">
        <f>IF(ISBLANK(Tables!L9),"",VLOOKUP(Tables!L9,Tables!$AX$2:$BA$53,4,0))</f>
        <v/>
      </c>
      <c r="AD26" t="str">
        <f>IF(ISBLANK(Tables!M9),"",VLOOKUP(Tables!M9,Tables!$AX$2:$BA$53,4,0))</f>
        <v/>
      </c>
      <c r="AE26" t="str">
        <f>IF(ISBLANK(Tables!N9),"",VLOOKUP(Tables!N9,Tables!$AX$2:$BA$53,4,0))</f>
        <v/>
      </c>
      <c r="AF26" t="str">
        <f>IF(ISBLANK(Tables!O9),"",VLOOKUP(Tables!O9,Tables!$AX$2:$BA$53,4,0))</f>
        <v/>
      </c>
      <c r="AG26" t="str">
        <f>IF(ISBLANK(Tables!P9),"",VLOOKUP(Tables!P9,Tables!$AX$2:$BA$53,4,0))</f>
        <v/>
      </c>
      <c r="AH26" t="str">
        <f>IF(ISBLANK(Tables!Q9),"",VLOOKUP(Tables!Q9,Tables!$AX$2:$BA$53,4,0))</f>
        <v/>
      </c>
      <c r="AI26" t="str">
        <f>IF(ISBLANK(Tables!R9),"",VLOOKUP(Tables!R9,Tables!$AX$2:$BA$53,4,0))</f>
        <v/>
      </c>
      <c r="AJ26" t="str">
        <f>IF(ISBLANK(Tables!S9),"",VLOOKUP(Tables!S9,Tables!$AX$2:$BA$53,4,0))</f>
        <v/>
      </c>
      <c r="AK26" t="str">
        <f>IF(ISBLANK(Tables!T9),"",VLOOKUP(Tables!T9,Tables!$AX$2:$BA$53,4,0))</f>
        <v/>
      </c>
      <c r="AL26" t="str">
        <f>IF(ISBLANK(Tables!U9),"",VLOOKUP(Tables!U9,Tables!$AX$2:$BA$53,4,0))</f>
        <v/>
      </c>
      <c r="AM26" t="str">
        <f>IF(ISBLANK(Tables!V9),"",VLOOKUP(Tables!V9,Tables!$AX$2:$BA$53,4,0))</f>
        <v/>
      </c>
      <c r="AN26" s="15" t="str">
        <f>IF(ISBLANK(Tables!W9),"",VLOOKUP(Tables!W9,Tables!$AX$2:$BA$53,4,0))</f>
        <v/>
      </c>
      <c r="AT26" s="10">
        <v>25</v>
      </c>
      <c r="AU26" s="10" t="str">
        <f>IF(ISBLANK(Tables!H26),"",VLOOKUP(Tables!H26,Tables!$AX$2:$BA$53,3,0))</f>
        <v/>
      </c>
      <c r="AV26" s="10" t="str">
        <f>IF(ISBLANK(Tables!H26),"",VLOOKUP(Tables!H26,Tables!$AX$2:$BA$53,4,0))</f>
        <v/>
      </c>
      <c r="BB26" s="137">
        <v>7</v>
      </c>
      <c r="BC26" s="112" t="str">
        <f>IF(ISBLANK(Tables!AF8),"",VLOOKUP(Tables!AF8,Tables!$AX$2:$BA$53,4,0))</f>
        <v/>
      </c>
      <c r="BD26" s="16" t="str">
        <f>IF(ISBLANK(Tables!AG8),"",VLOOKUP(Tables!AG8,Tables!$AX$2:$BA$53,4,0))</f>
        <v/>
      </c>
      <c r="BE26" s="16" t="str">
        <f>IF(ISBLANK(Tables!AH8),"",VLOOKUP(Tables!AH8,Tables!$AX$2:$BA$53,4,0))</f>
        <v/>
      </c>
      <c r="BF26" s="113" t="str">
        <f>IF(ISBLANK(Tables!AI8),"",VLOOKUP(Tables!AI8,Tables!$AX$2:$BA$53,4,0))</f>
        <v/>
      </c>
      <c r="BG26" s="16" t="str">
        <f>IF(ISBLANK(Tables!AL8),"",VLOOKUP(Tables!AL8,Tables!$AX$2:$BA$53,4,0))</f>
        <v/>
      </c>
      <c r="BH26" s="16" t="str">
        <f>IF(ISBLANK(Tables!AM8),"",VLOOKUP(Tables!AM8,Tables!$AX$2:$BA$53,4,0))</f>
        <v/>
      </c>
      <c r="BI26" s="16" t="str">
        <f>IF(ISBLANK(Tables!AN8),"",VLOOKUP(Tables!AN8,Tables!$AX$2:$BA$53,4,0))</f>
        <v/>
      </c>
      <c r="BJ26" s="113" t="str">
        <f>IF(ISBLANK(Tables!AO8),"",VLOOKUP(Tables!AO8,Tables!$AX$2:$BA$53,4,0))</f>
        <v/>
      </c>
    </row>
    <row r="27" spans="27:62" x14ac:dyDescent="0.25">
      <c r="AA27" s="10">
        <v>9</v>
      </c>
      <c r="AB27" s="14" t="str">
        <f>IF(ISBLANK(Tables!K10),"",VLOOKUP(Tables!K10,Tables!$AX$2:$BA$53,4,0))</f>
        <v/>
      </c>
      <c r="AC27" t="str">
        <f>IF(ISBLANK(Tables!L10),"",VLOOKUP(Tables!L10,Tables!$AX$2:$BA$53,4,0))</f>
        <v/>
      </c>
      <c r="AD27" t="str">
        <f>IF(ISBLANK(Tables!M10),"",VLOOKUP(Tables!M10,Tables!$AX$2:$BA$53,4,0))</f>
        <v/>
      </c>
      <c r="AE27" t="str">
        <f>IF(ISBLANK(Tables!N10),"",VLOOKUP(Tables!N10,Tables!$AX$2:$BA$53,4,0))</f>
        <v/>
      </c>
      <c r="AF27" t="str">
        <f>IF(ISBLANK(Tables!O10),"",VLOOKUP(Tables!O10,Tables!$AX$2:$BA$53,4,0))</f>
        <v/>
      </c>
      <c r="AG27" t="str">
        <f>IF(ISBLANK(Tables!P10),"",VLOOKUP(Tables!P10,Tables!$AX$2:$BA$53,4,0))</f>
        <v/>
      </c>
      <c r="AH27" t="str">
        <f>IF(ISBLANK(Tables!Q10),"",VLOOKUP(Tables!Q10,Tables!$AX$2:$BA$53,4,0))</f>
        <v/>
      </c>
      <c r="AI27" t="str">
        <f>IF(ISBLANK(Tables!R10),"",VLOOKUP(Tables!R10,Tables!$AX$2:$BA$53,4,0))</f>
        <v/>
      </c>
      <c r="AJ27" t="str">
        <f>IF(ISBLANK(Tables!S10),"",VLOOKUP(Tables!S10,Tables!$AX$2:$BA$53,4,0))</f>
        <v/>
      </c>
      <c r="AK27" t="str">
        <f>IF(ISBLANK(Tables!T10),"",VLOOKUP(Tables!T10,Tables!$AX$2:$BA$53,4,0))</f>
        <v/>
      </c>
      <c r="AL27" t="str">
        <f>IF(ISBLANK(Tables!U10),"",VLOOKUP(Tables!U10,Tables!$AX$2:$BA$53,4,0))</f>
        <v/>
      </c>
      <c r="AM27" t="str">
        <f>IF(ISBLANK(Tables!V10),"",VLOOKUP(Tables!V10,Tables!$AX$2:$BA$53,4,0))</f>
        <v/>
      </c>
      <c r="AN27" s="15" t="str">
        <f>IF(ISBLANK(Tables!W10),"",VLOOKUP(Tables!W10,Tables!$AX$2:$BA$53,4,0))</f>
        <v/>
      </c>
      <c r="AT27" s="10">
        <v>26</v>
      </c>
      <c r="AU27" s="10" t="str">
        <f>IF(ISBLANK(Tables!H27),"",VLOOKUP(Tables!H27,Tables!$AX$2:$BA$53,3,0))</f>
        <v/>
      </c>
      <c r="AV27" s="10" t="str">
        <f>IF(ISBLANK(Tables!H27),"",VLOOKUP(Tables!H27,Tables!$AX$2:$BA$53,4,0))</f>
        <v/>
      </c>
      <c r="BB27" s="137">
        <v>8</v>
      </c>
      <c r="BC27" s="112" t="str">
        <f>IF(ISBLANK(Tables!AF9),"",VLOOKUP(Tables!AF9,Tables!$AX$2:$BA$53,4,0))</f>
        <v/>
      </c>
      <c r="BD27" s="16" t="str">
        <f>IF(ISBLANK(Tables!AG9),"",VLOOKUP(Tables!AG9,Tables!$AX$2:$BA$53,4,0))</f>
        <v/>
      </c>
      <c r="BE27" s="16" t="str">
        <f>IF(ISBLANK(Tables!AH9),"",VLOOKUP(Tables!AH9,Tables!$AX$2:$BA$53,4,0))</f>
        <v/>
      </c>
      <c r="BF27" s="113" t="str">
        <f>IF(ISBLANK(Tables!AI9),"",VLOOKUP(Tables!AI9,Tables!$AX$2:$BA$53,4,0))</f>
        <v/>
      </c>
      <c r="BG27" s="16" t="str">
        <f>IF(ISBLANK(Tables!AL9),"",VLOOKUP(Tables!AL9,Tables!$AX$2:$BA$53,4,0))</f>
        <v/>
      </c>
      <c r="BH27" s="16" t="str">
        <f>IF(ISBLANK(Tables!AM9),"",VLOOKUP(Tables!AM9,Tables!$AX$2:$BA$53,4,0))</f>
        <v/>
      </c>
      <c r="BI27" s="16" t="str">
        <f>IF(ISBLANK(Tables!AN9),"",VLOOKUP(Tables!AN9,Tables!$AX$2:$BA$53,4,0))</f>
        <v/>
      </c>
      <c r="BJ27" s="113" t="str">
        <f>IF(ISBLANK(Tables!AO9),"",VLOOKUP(Tables!AO9,Tables!$AX$2:$BA$53,4,0))</f>
        <v/>
      </c>
    </row>
    <row r="28" spans="27:62" x14ac:dyDescent="0.25">
      <c r="AA28" s="10">
        <v>10</v>
      </c>
      <c r="AB28" s="14" t="str">
        <f>IF(ISBLANK(Tables!K11),"",VLOOKUP(Tables!K11,Tables!$AX$2:$BA$53,4,0))</f>
        <v/>
      </c>
      <c r="AC28" t="str">
        <f>IF(ISBLANK(Tables!L11),"",VLOOKUP(Tables!L11,Tables!$AX$2:$BA$53,4,0))</f>
        <v/>
      </c>
      <c r="AD28" t="str">
        <f>IF(ISBLANK(Tables!M11),"",VLOOKUP(Tables!M11,Tables!$AX$2:$BA$53,4,0))</f>
        <v/>
      </c>
      <c r="AE28" t="str">
        <f>IF(ISBLANK(Tables!N11),"",VLOOKUP(Tables!N11,Tables!$AX$2:$BA$53,4,0))</f>
        <v/>
      </c>
      <c r="AF28" t="str">
        <f>IF(ISBLANK(Tables!O11),"",VLOOKUP(Tables!O11,Tables!$AX$2:$BA$53,4,0))</f>
        <v/>
      </c>
      <c r="AG28" t="str">
        <f>IF(ISBLANK(Tables!P11),"",VLOOKUP(Tables!P11,Tables!$AX$2:$BA$53,4,0))</f>
        <v/>
      </c>
      <c r="AH28" t="str">
        <f>IF(ISBLANK(Tables!Q11),"",VLOOKUP(Tables!Q11,Tables!$AX$2:$BA$53,4,0))</f>
        <v/>
      </c>
      <c r="AI28" t="str">
        <f>IF(ISBLANK(Tables!R11),"",VLOOKUP(Tables!R11,Tables!$AX$2:$BA$53,4,0))</f>
        <v/>
      </c>
      <c r="AJ28" t="str">
        <f>IF(ISBLANK(Tables!S11),"",VLOOKUP(Tables!S11,Tables!$AX$2:$BA$53,4,0))</f>
        <v/>
      </c>
      <c r="AK28" t="str">
        <f>IF(ISBLANK(Tables!T11),"",VLOOKUP(Tables!T11,Tables!$AX$2:$BA$53,4,0))</f>
        <v/>
      </c>
      <c r="AL28" t="str">
        <f>IF(ISBLANK(Tables!U11),"",VLOOKUP(Tables!U11,Tables!$AX$2:$BA$53,4,0))</f>
        <v/>
      </c>
      <c r="AM28" t="str">
        <f>IF(ISBLANK(Tables!V11),"",VLOOKUP(Tables!V11,Tables!$AX$2:$BA$53,4,0))</f>
        <v/>
      </c>
      <c r="AN28" s="15" t="str">
        <f>IF(ISBLANK(Tables!W11),"",VLOOKUP(Tables!W11,Tables!$AX$2:$BA$53,4,0))</f>
        <v/>
      </c>
      <c r="AT28" s="10">
        <v>27</v>
      </c>
      <c r="AU28" s="10" t="str">
        <f>IF(ISBLANK(Tables!H28),"",VLOOKUP(Tables!H28,Tables!$AX$2:$BA$53,3,0))</f>
        <v/>
      </c>
      <c r="AV28" s="10" t="str">
        <f>IF(ISBLANK(Tables!H28),"",VLOOKUP(Tables!H28,Tables!$AX$2:$BA$53,4,0))</f>
        <v/>
      </c>
      <c r="BB28" s="137">
        <v>9</v>
      </c>
      <c r="BC28" s="112" t="str">
        <f>IF(ISBLANK(Tables!AF10),"",VLOOKUP(Tables!AF10,Tables!$AX$2:$BA$53,4,0))</f>
        <v/>
      </c>
      <c r="BD28" s="16" t="str">
        <f>IF(ISBLANK(Tables!AG10),"",VLOOKUP(Tables!AG10,Tables!$AX$2:$BA$53,4,0))</f>
        <v/>
      </c>
      <c r="BE28" s="16" t="str">
        <f>IF(ISBLANK(Tables!AH10),"",VLOOKUP(Tables!AH10,Tables!$AX$2:$BA$53,4,0))</f>
        <v/>
      </c>
      <c r="BF28" s="113" t="str">
        <f>IF(ISBLANK(Tables!AI10),"",VLOOKUP(Tables!AI10,Tables!$AX$2:$BA$53,4,0))</f>
        <v/>
      </c>
      <c r="BG28" s="16" t="str">
        <f>IF(ISBLANK(Tables!AL10),"",VLOOKUP(Tables!AL10,Tables!$AX$2:$BA$53,4,0))</f>
        <v/>
      </c>
      <c r="BH28" s="16" t="str">
        <f>IF(ISBLANK(Tables!AM10),"",VLOOKUP(Tables!AM10,Tables!$AX$2:$BA$53,4,0))</f>
        <v/>
      </c>
      <c r="BI28" s="16" t="str">
        <f>IF(ISBLANK(Tables!AN10),"",VLOOKUP(Tables!AN10,Tables!$AX$2:$BA$53,4,0))</f>
        <v/>
      </c>
      <c r="BJ28" s="113" t="str">
        <f>IF(ISBLANK(Tables!AO10),"",VLOOKUP(Tables!AO10,Tables!$AX$2:$BA$53,4,0))</f>
        <v/>
      </c>
    </row>
    <row r="29" spans="27:62" x14ac:dyDescent="0.25">
      <c r="AA29" s="10">
        <v>11</v>
      </c>
      <c r="AB29" s="14" t="str">
        <f>IF(ISBLANK(Tables!K12),"",VLOOKUP(Tables!K12,Tables!$AX$2:$BA$53,4,0))</f>
        <v/>
      </c>
      <c r="AC29" t="str">
        <f>IF(ISBLANK(Tables!L12),"",VLOOKUP(Tables!L12,Tables!$AX$2:$BA$53,4,0))</f>
        <v/>
      </c>
      <c r="AD29" t="str">
        <f>IF(ISBLANK(Tables!M12),"",VLOOKUP(Tables!M12,Tables!$AX$2:$BA$53,4,0))</f>
        <v/>
      </c>
      <c r="AE29" t="str">
        <f>IF(ISBLANK(Tables!N12),"",VLOOKUP(Tables!N12,Tables!$AX$2:$BA$53,4,0))</f>
        <v/>
      </c>
      <c r="AF29" t="str">
        <f>IF(ISBLANK(Tables!O12),"",VLOOKUP(Tables!O12,Tables!$AX$2:$BA$53,4,0))</f>
        <v/>
      </c>
      <c r="AG29" t="str">
        <f>IF(ISBLANK(Tables!P12),"",VLOOKUP(Tables!P12,Tables!$AX$2:$BA$53,4,0))</f>
        <v/>
      </c>
      <c r="AH29" t="str">
        <f>IF(ISBLANK(Tables!Q12),"",VLOOKUP(Tables!Q12,Tables!$AX$2:$BA$53,4,0))</f>
        <v/>
      </c>
      <c r="AI29" t="str">
        <f>IF(ISBLANK(Tables!R12),"",VLOOKUP(Tables!R12,Tables!$AX$2:$BA$53,4,0))</f>
        <v/>
      </c>
      <c r="AJ29" t="str">
        <f>IF(ISBLANK(Tables!S12),"",VLOOKUP(Tables!S12,Tables!$AX$2:$BA$53,4,0))</f>
        <v/>
      </c>
      <c r="AK29" t="str">
        <f>IF(ISBLANK(Tables!T12),"",VLOOKUP(Tables!T12,Tables!$AX$2:$BA$53,4,0))</f>
        <v/>
      </c>
      <c r="AL29" t="str">
        <f>IF(ISBLANK(Tables!U12),"",VLOOKUP(Tables!U12,Tables!$AX$2:$BA$53,4,0))</f>
        <v/>
      </c>
      <c r="AM29" t="str">
        <f>IF(ISBLANK(Tables!V12),"",VLOOKUP(Tables!V12,Tables!$AX$2:$BA$53,4,0))</f>
        <v/>
      </c>
      <c r="AN29" s="15" t="str">
        <f>IF(ISBLANK(Tables!W12),"",VLOOKUP(Tables!W12,Tables!$AX$2:$BA$53,4,0))</f>
        <v/>
      </c>
      <c r="AT29" s="10">
        <v>28</v>
      </c>
      <c r="AU29" s="10" t="str">
        <f>IF(ISBLANK(Tables!H29),"",VLOOKUP(Tables!H29,Tables!$AX$2:$BA$53,3,0))</f>
        <v/>
      </c>
      <c r="AV29" s="10" t="str">
        <f>IF(ISBLANK(Tables!H29),"",VLOOKUP(Tables!H29,Tables!$AX$2:$BA$53,4,0))</f>
        <v/>
      </c>
      <c r="BB29" s="137">
        <v>10</v>
      </c>
      <c r="BC29" s="112" t="str">
        <f>IF(ISBLANK(Tables!AF11),"",VLOOKUP(Tables!AF11,Tables!$AX$2:$BA$53,4,0))</f>
        <v/>
      </c>
      <c r="BD29" s="16" t="str">
        <f>IF(ISBLANK(Tables!AG11),"",VLOOKUP(Tables!AG11,Tables!$AX$2:$BA$53,4,0))</f>
        <v/>
      </c>
      <c r="BE29" s="16" t="str">
        <f>IF(ISBLANK(Tables!AH11),"",VLOOKUP(Tables!AH11,Tables!$AX$2:$BA$53,4,0))</f>
        <v/>
      </c>
      <c r="BF29" s="113" t="str">
        <f>IF(ISBLANK(Tables!AI11),"",VLOOKUP(Tables!AI11,Tables!$AX$2:$BA$53,4,0))</f>
        <v/>
      </c>
      <c r="BG29" s="16" t="str">
        <f>IF(ISBLANK(Tables!AL11),"",VLOOKUP(Tables!AL11,Tables!$AX$2:$BA$53,4,0))</f>
        <v/>
      </c>
      <c r="BH29" s="16" t="str">
        <f>IF(ISBLANK(Tables!AM11),"",VLOOKUP(Tables!AM11,Tables!$AX$2:$BA$53,4,0))</f>
        <v/>
      </c>
      <c r="BI29" s="16" t="str">
        <f>IF(ISBLANK(Tables!AN11),"",VLOOKUP(Tables!AN11,Tables!$AX$2:$BA$53,4,0))</f>
        <v/>
      </c>
      <c r="BJ29" s="113" t="str">
        <f>IF(ISBLANK(Tables!AO11),"",VLOOKUP(Tables!AO11,Tables!$AX$2:$BA$53,4,0))</f>
        <v/>
      </c>
    </row>
    <row r="30" spans="27:62" x14ac:dyDescent="0.25">
      <c r="AA30" s="10">
        <v>12</v>
      </c>
      <c r="AB30" s="14" t="str">
        <f>IF(ISBLANK(Tables!K13),"",VLOOKUP(Tables!K13,Tables!$AX$2:$BA$53,4,0))</f>
        <v/>
      </c>
      <c r="AC30" t="str">
        <f>IF(ISBLANK(Tables!L13),"",VLOOKUP(Tables!L13,Tables!$AX$2:$BA$53,4,0))</f>
        <v/>
      </c>
      <c r="AD30" t="str">
        <f>IF(ISBLANK(Tables!M13),"",VLOOKUP(Tables!M13,Tables!$AX$2:$BA$53,4,0))</f>
        <v/>
      </c>
      <c r="AE30" t="str">
        <f>IF(ISBLANK(Tables!N13),"",VLOOKUP(Tables!N13,Tables!$AX$2:$BA$53,4,0))</f>
        <v/>
      </c>
      <c r="AF30" t="str">
        <f>IF(ISBLANK(Tables!O13),"",VLOOKUP(Tables!O13,Tables!$AX$2:$BA$53,4,0))</f>
        <v/>
      </c>
      <c r="AG30" t="str">
        <f>IF(ISBLANK(Tables!P13),"",VLOOKUP(Tables!P13,Tables!$AX$2:$BA$53,4,0))</f>
        <v/>
      </c>
      <c r="AH30" t="str">
        <f>IF(ISBLANK(Tables!Q13),"",VLOOKUP(Tables!Q13,Tables!$AX$2:$BA$53,4,0))</f>
        <v/>
      </c>
      <c r="AI30" t="str">
        <f>IF(ISBLANK(Tables!R13),"",VLOOKUP(Tables!R13,Tables!$AX$2:$BA$53,4,0))</f>
        <v/>
      </c>
      <c r="AJ30" t="str">
        <f>IF(ISBLANK(Tables!S13),"",VLOOKUP(Tables!S13,Tables!$AX$2:$BA$53,4,0))</f>
        <v/>
      </c>
      <c r="AK30" t="str">
        <f>IF(ISBLANK(Tables!T13),"",VLOOKUP(Tables!T13,Tables!$AX$2:$BA$53,4,0))</f>
        <v/>
      </c>
      <c r="AL30" t="str">
        <f>IF(ISBLANK(Tables!U13),"",VLOOKUP(Tables!U13,Tables!$AX$2:$BA$53,4,0))</f>
        <v/>
      </c>
      <c r="AM30" t="str">
        <f>IF(ISBLANK(Tables!V13),"",VLOOKUP(Tables!V13,Tables!$AX$2:$BA$53,4,0))</f>
        <v/>
      </c>
      <c r="AN30" s="15" t="str">
        <f>IF(ISBLANK(Tables!W13),"",VLOOKUP(Tables!W13,Tables!$AX$2:$BA$53,4,0))</f>
        <v/>
      </c>
      <c r="AT30" s="10">
        <v>29</v>
      </c>
      <c r="AU30" s="10" t="str">
        <f>IF(ISBLANK(Tables!H30),"",VLOOKUP(Tables!H30,Tables!$AX$2:$BA$53,3,0))</f>
        <v/>
      </c>
      <c r="AV30" s="10" t="str">
        <f>IF(ISBLANK(Tables!H30),"",VLOOKUP(Tables!H30,Tables!$AX$2:$BA$53,4,0))</f>
        <v/>
      </c>
      <c r="BB30" s="137">
        <v>11</v>
      </c>
      <c r="BC30" s="112" t="str">
        <f>IF(ISBLANK(Tables!AF12),"",VLOOKUP(Tables!AF12,Tables!$AX$2:$BA$53,4,0))</f>
        <v/>
      </c>
      <c r="BD30" s="16" t="str">
        <f>IF(ISBLANK(Tables!AG12),"",VLOOKUP(Tables!AG12,Tables!$AX$2:$BA$53,4,0))</f>
        <v/>
      </c>
      <c r="BE30" s="16" t="str">
        <f>IF(ISBLANK(Tables!AH12),"",VLOOKUP(Tables!AH12,Tables!$AX$2:$BA$53,4,0))</f>
        <v/>
      </c>
      <c r="BF30" s="113" t="str">
        <f>IF(ISBLANK(Tables!AI12),"",VLOOKUP(Tables!AI12,Tables!$AX$2:$BA$53,4,0))</f>
        <v/>
      </c>
      <c r="BG30" s="16" t="str">
        <f>IF(ISBLANK(Tables!AL12),"",VLOOKUP(Tables!AL12,Tables!$AX$2:$BA$53,4,0))</f>
        <v/>
      </c>
      <c r="BH30" s="16" t="str">
        <f>IF(ISBLANK(Tables!AM12),"",VLOOKUP(Tables!AM12,Tables!$AX$2:$BA$53,4,0))</f>
        <v/>
      </c>
      <c r="BI30" s="16" t="str">
        <f>IF(ISBLANK(Tables!AN12),"",VLOOKUP(Tables!AN12,Tables!$AX$2:$BA$53,4,0))</f>
        <v/>
      </c>
      <c r="BJ30" s="113" t="str">
        <f>IF(ISBLANK(Tables!AO12),"",VLOOKUP(Tables!AO12,Tables!$AX$2:$BA$53,4,0))</f>
        <v/>
      </c>
    </row>
    <row r="31" spans="27:62" x14ac:dyDescent="0.25">
      <c r="AA31" s="10">
        <v>13</v>
      </c>
      <c r="AB31" s="14" t="str">
        <f>IF(ISBLANK(Tables!K14),"",VLOOKUP(Tables!K14,Tables!$AX$2:$BA$53,4,0))</f>
        <v/>
      </c>
      <c r="AC31" t="str">
        <f>IF(ISBLANK(Tables!L14),"",VLOOKUP(Tables!L14,Tables!$AX$2:$BA$53,4,0))</f>
        <v/>
      </c>
      <c r="AD31" t="str">
        <f>IF(ISBLANK(Tables!M14),"",VLOOKUP(Tables!M14,Tables!$AX$2:$BA$53,4,0))</f>
        <v/>
      </c>
      <c r="AE31" t="str">
        <f>IF(ISBLANK(Tables!N14),"",VLOOKUP(Tables!N14,Tables!$AX$2:$BA$53,4,0))</f>
        <v/>
      </c>
      <c r="AF31" t="str">
        <f>IF(ISBLANK(Tables!O14),"",VLOOKUP(Tables!O14,Tables!$AX$2:$BA$53,4,0))</f>
        <v/>
      </c>
      <c r="AG31" t="str">
        <f>IF(ISBLANK(Tables!P14),"",VLOOKUP(Tables!P14,Tables!$AX$2:$BA$53,4,0))</f>
        <v/>
      </c>
      <c r="AH31" t="str">
        <f>IF(ISBLANK(Tables!Q14),"",VLOOKUP(Tables!Q14,Tables!$AX$2:$BA$53,4,0))</f>
        <v/>
      </c>
      <c r="AI31" t="str">
        <f>IF(ISBLANK(Tables!R14),"",VLOOKUP(Tables!R14,Tables!$AX$2:$BA$53,4,0))</f>
        <v/>
      </c>
      <c r="AJ31" t="str">
        <f>IF(ISBLANK(Tables!S14),"",VLOOKUP(Tables!S14,Tables!$AX$2:$BA$53,4,0))</f>
        <v/>
      </c>
      <c r="AK31" t="str">
        <f>IF(ISBLANK(Tables!T14),"",VLOOKUP(Tables!T14,Tables!$AX$2:$BA$53,4,0))</f>
        <v/>
      </c>
      <c r="AL31" t="str">
        <f>IF(ISBLANK(Tables!U14),"",VLOOKUP(Tables!U14,Tables!$AX$2:$BA$53,4,0))</f>
        <v/>
      </c>
      <c r="AM31" t="str">
        <f>IF(ISBLANK(Tables!V14),"",VLOOKUP(Tables!V14,Tables!$AX$2:$BA$53,4,0))</f>
        <v/>
      </c>
      <c r="AN31" s="15" t="str">
        <f>IF(ISBLANK(Tables!W14),"",VLOOKUP(Tables!W14,Tables!$AX$2:$BA$53,4,0))</f>
        <v/>
      </c>
      <c r="AT31" s="10">
        <v>30</v>
      </c>
      <c r="AU31" s="10" t="str">
        <f>IF(ISBLANK(Tables!H31),"",VLOOKUP(Tables!H31,Tables!$AX$2:$BA$53,3,0))</f>
        <v/>
      </c>
      <c r="AV31" s="10" t="str">
        <f>IF(ISBLANK(Tables!H31),"",VLOOKUP(Tables!H31,Tables!$AX$2:$BA$53,4,0))</f>
        <v/>
      </c>
      <c r="BB31" s="137">
        <v>12</v>
      </c>
      <c r="BC31" s="112" t="str">
        <f>IF(ISBLANK(Tables!AF13),"",VLOOKUP(Tables!AF13,Tables!$AX$2:$BA$53,4,0))</f>
        <v/>
      </c>
      <c r="BD31" s="16" t="str">
        <f>IF(ISBLANK(Tables!AG13),"",VLOOKUP(Tables!AG13,Tables!$AX$2:$BA$53,4,0))</f>
        <v/>
      </c>
      <c r="BE31" s="16" t="str">
        <f>IF(ISBLANK(Tables!AH13),"",VLOOKUP(Tables!AH13,Tables!$AX$2:$BA$53,4,0))</f>
        <v/>
      </c>
      <c r="BF31" s="113" t="str">
        <f>IF(ISBLANK(Tables!AI13),"",VLOOKUP(Tables!AI13,Tables!$AX$2:$BA$53,4,0))</f>
        <v/>
      </c>
      <c r="BG31" s="16" t="str">
        <f>IF(ISBLANK(Tables!AL13),"",VLOOKUP(Tables!AL13,Tables!$AX$2:$BA$53,4,0))</f>
        <v/>
      </c>
      <c r="BH31" s="16" t="str">
        <f>IF(ISBLANK(Tables!AM13),"",VLOOKUP(Tables!AM13,Tables!$AX$2:$BA$53,4,0))</f>
        <v/>
      </c>
      <c r="BI31" s="16" t="str">
        <f>IF(ISBLANK(Tables!AN13),"",VLOOKUP(Tables!AN13,Tables!$AX$2:$BA$53,4,0))</f>
        <v/>
      </c>
      <c r="BJ31" s="113" t="str">
        <f>IF(ISBLANK(Tables!AO13),"",VLOOKUP(Tables!AO13,Tables!$AX$2:$BA$53,4,0))</f>
        <v/>
      </c>
    </row>
    <row r="32" spans="27:62" ht="15.75" thickBot="1" x14ac:dyDescent="0.3">
      <c r="AA32" s="10">
        <v>14</v>
      </c>
      <c r="AB32" s="14" t="str">
        <f>IF(ISBLANK(Tables!K15),"",VLOOKUP(Tables!K15,Tables!$AX$2:$BA$53,4,0))</f>
        <v/>
      </c>
      <c r="AC32" t="str">
        <f>IF(ISBLANK(Tables!L15),"",VLOOKUP(Tables!L15,Tables!$AX$2:$BA$53,4,0))</f>
        <v/>
      </c>
      <c r="AD32" t="str">
        <f>IF(ISBLANK(Tables!M15),"",VLOOKUP(Tables!M15,Tables!$AX$2:$BA$53,4,0))</f>
        <v/>
      </c>
      <c r="AE32" t="str">
        <f>IF(ISBLANK(Tables!N15),"",VLOOKUP(Tables!N15,Tables!$AX$2:$BA$53,4,0))</f>
        <v/>
      </c>
      <c r="AF32" t="str">
        <f>IF(ISBLANK(Tables!O15),"",VLOOKUP(Tables!O15,Tables!$AX$2:$BA$53,4,0))</f>
        <v/>
      </c>
      <c r="AG32" t="str">
        <f>IF(ISBLANK(Tables!P15),"",VLOOKUP(Tables!P15,Tables!$AX$2:$BA$53,4,0))</f>
        <v/>
      </c>
      <c r="AH32" t="str">
        <f>IF(ISBLANK(Tables!Q15),"",VLOOKUP(Tables!Q15,Tables!$AX$2:$BA$53,4,0))</f>
        <v/>
      </c>
      <c r="AI32" t="str">
        <f>IF(ISBLANK(Tables!R15),"",VLOOKUP(Tables!R15,Tables!$AX$2:$BA$53,4,0))</f>
        <v/>
      </c>
      <c r="AJ32" t="str">
        <f>IF(ISBLANK(Tables!S15),"",VLOOKUP(Tables!S15,Tables!$AX$2:$BA$53,4,0))</f>
        <v/>
      </c>
      <c r="AK32" t="str">
        <f>IF(ISBLANK(Tables!T15),"",VLOOKUP(Tables!T15,Tables!$AX$2:$BA$53,4,0))</f>
        <v/>
      </c>
      <c r="AL32" t="str">
        <f>IF(ISBLANK(Tables!U15),"",VLOOKUP(Tables!U15,Tables!$AX$2:$BA$53,4,0))</f>
        <v/>
      </c>
      <c r="AM32" t="str">
        <f>IF(ISBLANK(Tables!V15),"",VLOOKUP(Tables!V15,Tables!$AX$2:$BA$53,4,0))</f>
        <v/>
      </c>
      <c r="AN32" s="15" t="str">
        <f>IF(ISBLANK(Tables!W15),"",VLOOKUP(Tables!W15,Tables!$AX$2:$BA$53,4,0))</f>
        <v/>
      </c>
      <c r="AT32" s="10">
        <v>31</v>
      </c>
      <c r="AU32" s="10" t="str">
        <f>IF(ISBLANK(Tables!H32),"",VLOOKUP(Tables!H32,Tables!$AX$2:$BA$53,3,0))</f>
        <v/>
      </c>
      <c r="AV32" s="10" t="str">
        <f>IF(ISBLANK(Tables!H32),"",VLOOKUP(Tables!H32,Tables!$AX$2:$BA$53,4,0))</f>
        <v/>
      </c>
      <c r="BB32" s="139">
        <v>13</v>
      </c>
      <c r="BC32" s="132" t="str">
        <f>IF(ISBLANK(Tables!AF14),"",VLOOKUP(Tables!AF14,Tables!$AX$2:$BA$53,4,0))</f>
        <v/>
      </c>
      <c r="BD32" s="114" t="str">
        <f>IF(ISBLANK(Tables!AG14),"",VLOOKUP(Tables!AG14,Tables!$AX$2:$BA$53,4,0))</f>
        <v/>
      </c>
      <c r="BE32" s="114" t="str">
        <f>IF(ISBLANK(Tables!AH14),"",VLOOKUP(Tables!AH14,Tables!$AX$2:$BA$53,4,0))</f>
        <v/>
      </c>
      <c r="BF32" s="115" t="str">
        <f>IF(ISBLANK(Tables!AI14),"",VLOOKUP(Tables!AI14,Tables!$AX$2:$BA$53,4,0))</f>
        <v/>
      </c>
      <c r="BG32" s="114" t="str">
        <f>IF(ISBLANK(Tables!AL14),"",VLOOKUP(Tables!AL14,Tables!$AX$2:$BA$53,4,0))</f>
        <v/>
      </c>
      <c r="BH32" s="114" t="str">
        <f>IF(ISBLANK(Tables!AM14),"",VLOOKUP(Tables!AM14,Tables!$AX$2:$BA$53,4,0))</f>
        <v/>
      </c>
      <c r="BI32" s="114" t="str">
        <f>IF(ISBLANK(Tables!AN14),"",VLOOKUP(Tables!AN14,Tables!$AX$2:$BA$53,4,0))</f>
        <v/>
      </c>
      <c r="BJ32" s="115" t="str">
        <f>IF(ISBLANK(Tables!AO14),"",VLOOKUP(Tables!AO14,Tables!$AX$2:$BA$53,4,0))</f>
        <v/>
      </c>
    </row>
    <row r="33" spans="27:48" x14ac:dyDescent="0.25">
      <c r="AA33" s="8">
        <v>15</v>
      </c>
      <c r="AB33" s="4" t="str">
        <f>IF(ISBLANK(Tables!K16),"",VLOOKUP(Tables!K16,Tables!$AX$2:$BA$53,4,0))</f>
        <v/>
      </c>
      <c r="AC33" s="5" t="str">
        <f>IF(ISBLANK(Tables!L16),"",VLOOKUP(Tables!L16,Tables!$AX$2:$BA$53,4,0))</f>
        <v/>
      </c>
      <c r="AD33" s="5" t="str">
        <f>IF(ISBLANK(Tables!M16),"",VLOOKUP(Tables!M16,Tables!$AX$2:$BA$53,4,0))</f>
        <v/>
      </c>
      <c r="AE33" s="5" t="str">
        <f>IF(ISBLANK(Tables!N16),"",VLOOKUP(Tables!N16,Tables!$AX$2:$BA$53,4,0))</f>
        <v/>
      </c>
      <c r="AF33" s="5" t="str">
        <f>IF(ISBLANK(Tables!O16),"",VLOOKUP(Tables!O16,Tables!$AX$2:$BA$53,4,0))</f>
        <v/>
      </c>
      <c r="AG33" s="5" t="str">
        <f>IF(ISBLANK(Tables!P16),"",VLOOKUP(Tables!P16,Tables!$AX$2:$BA$53,4,0))</f>
        <v/>
      </c>
      <c r="AH33" s="5" t="str">
        <f>IF(ISBLANK(Tables!Q16),"",VLOOKUP(Tables!Q16,Tables!$AX$2:$BA$53,4,0))</f>
        <v/>
      </c>
      <c r="AI33" s="5" t="str">
        <f>IF(ISBLANK(Tables!R16),"",VLOOKUP(Tables!R16,Tables!$AX$2:$BA$53,4,0))</f>
        <v/>
      </c>
      <c r="AJ33" s="5" t="str">
        <f>IF(ISBLANK(Tables!S16),"",VLOOKUP(Tables!S16,Tables!$AX$2:$BA$53,4,0))</f>
        <v/>
      </c>
      <c r="AK33" s="5" t="str">
        <f>IF(ISBLANK(Tables!T16),"",VLOOKUP(Tables!T16,Tables!$AX$2:$BA$53,4,0))</f>
        <v/>
      </c>
      <c r="AL33" s="5" t="str">
        <f>IF(ISBLANK(Tables!U16),"",VLOOKUP(Tables!U16,Tables!$AX$2:$BA$53,4,0))</f>
        <v/>
      </c>
      <c r="AM33" s="5" t="str">
        <f>IF(ISBLANK(Tables!V16),"",VLOOKUP(Tables!V16,Tables!$AX$2:$BA$53,4,0))</f>
        <v/>
      </c>
      <c r="AN33" s="6" t="str">
        <f>IF(ISBLANK(Tables!W16),"",VLOOKUP(Tables!W16,Tables!$AX$2:$BA$53,4,0))</f>
        <v/>
      </c>
      <c r="AT33" s="10">
        <v>32</v>
      </c>
      <c r="AU33" s="10" t="str">
        <f>IF(ISBLANK(Tables!H33),"",VLOOKUP(Tables!H33,Tables!$AX$2:$BA$53,3,0))</f>
        <v/>
      </c>
      <c r="AV33" s="10" t="str">
        <f>IF(ISBLANK(Tables!H33),"",VLOOKUP(Tables!H33,Tables!$AX$2:$BA$53,4,0))</f>
        <v/>
      </c>
    </row>
    <row r="34" spans="27:48" x14ac:dyDescent="0.25">
      <c r="AT34" s="10">
        <v>33</v>
      </c>
      <c r="AU34" s="10" t="str">
        <f>IF(ISBLANK(Tables!H34),"",VLOOKUP(Tables!H34,Tables!$AX$2:$BA$53,3,0))</f>
        <v/>
      </c>
      <c r="AV34" s="10" t="str">
        <f>IF(ISBLANK(Tables!H34),"",VLOOKUP(Tables!H34,Tables!$AX$2:$BA$53,4,0))</f>
        <v/>
      </c>
    </row>
    <row r="35" spans="27:48" x14ac:dyDescent="0.25">
      <c r="AT35" s="10">
        <v>34</v>
      </c>
      <c r="AU35" s="10" t="str">
        <f>IF(ISBLANK(Tables!H35),"",VLOOKUP(Tables!H35,Tables!$AX$2:$BA$53,3,0))</f>
        <v/>
      </c>
      <c r="AV35" s="10" t="str">
        <f>IF(ISBLANK(Tables!H35),"",VLOOKUP(Tables!H35,Tables!$AX$2:$BA$53,4,0))</f>
        <v/>
      </c>
    </row>
    <row r="36" spans="27:48" x14ac:dyDescent="0.25">
      <c r="AT36" s="10">
        <v>35</v>
      </c>
      <c r="AU36" s="10" t="str">
        <f>IF(ISBLANK(Tables!H36),"",VLOOKUP(Tables!H36,Tables!$AX$2:$BA$53,3,0))</f>
        <v/>
      </c>
      <c r="AV36" s="10" t="str">
        <f>IF(ISBLANK(Tables!H36),"",VLOOKUP(Tables!H36,Tables!$AX$2:$BA$53,4,0))</f>
        <v/>
      </c>
    </row>
    <row r="37" spans="27:48" x14ac:dyDescent="0.25">
      <c r="AT37" s="10">
        <v>36</v>
      </c>
      <c r="AU37" s="10" t="str">
        <f>IF(ISBLANK(Tables!H37),"",VLOOKUP(Tables!H37,Tables!$AX$2:$BA$53,3,0))</f>
        <v/>
      </c>
      <c r="AV37" s="10" t="str">
        <f>IF(ISBLANK(Tables!H37),"",VLOOKUP(Tables!H37,Tables!$AX$2:$BA$53,4,0))</f>
        <v/>
      </c>
    </row>
    <row r="38" spans="27:48" x14ac:dyDescent="0.25">
      <c r="AT38" s="10">
        <v>37</v>
      </c>
      <c r="AU38" s="10" t="str">
        <f>IF(ISBLANK(Tables!H38),"",VLOOKUP(Tables!H38,Tables!$AX$2:$BA$53,3,0))</f>
        <v/>
      </c>
      <c r="AV38" s="10" t="str">
        <f>IF(ISBLANK(Tables!H38),"",VLOOKUP(Tables!H38,Tables!$AX$2:$BA$53,4,0))</f>
        <v/>
      </c>
    </row>
    <row r="39" spans="27:48" x14ac:dyDescent="0.25">
      <c r="AT39" s="10">
        <v>38</v>
      </c>
      <c r="AU39" s="10" t="str">
        <f>IF(ISBLANK(Tables!H39),"",VLOOKUP(Tables!H39,Tables!$AX$2:$BA$53,3,0))</f>
        <v/>
      </c>
      <c r="AV39" s="10" t="str">
        <f>IF(ISBLANK(Tables!H39),"",VLOOKUP(Tables!H39,Tables!$AX$2:$BA$53,4,0))</f>
        <v/>
      </c>
    </row>
    <row r="40" spans="27:48" x14ac:dyDescent="0.25">
      <c r="AT40" s="10">
        <v>39</v>
      </c>
      <c r="AU40" s="10" t="str">
        <f>IF(ISBLANK(Tables!H40),"",VLOOKUP(Tables!H40,Tables!$AX$2:$BA$53,3,0))</f>
        <v/>
      </c>
      <c r="AV40" s="10" t="str">
        <f>IF(ISBLANK(Tables!H40),"",VLOOKUP(Tables!H40,Tables!$AX$2:$BA$53,4,0))</f>
        <v/>
      </c>
    </row>
    <row r="41" spans="27:48" x14ac:dyDescent="0.25">
      <c r="AT41" s="10">
        <v>40</v>
      </c>
      <c r="AU41" s="10" t="str">
        <f>IF(ISBLANK(Tables!H41),"",VLOOKUP(Tables!H41,Tables!$AX$2:$BA$53,3,0))</f>
        <v/>
      </c>
      <c r="AV41" s="10" t="str">
        <f>IF(ISBLANK(Tables!H41),"",VLOOKUP(Tables!H41,Tables!$AX$2:$BA$53,4,0))</f>
        <v/>
      </c>
    </row>
    <row r="42" spans="27:48" x14ac:dyDescent="0.25">
      <c r="AT42" s="10">
        <v>41</v>
      </c>
      <c r="AU42" s="10" t="str">
        <f>IF(ISBLANK(Tables!H42),"",VLOOKUP(Tables!H42,Tables!$AX$2:$BA$53,3,0))</f>
        <v/>
      </c>
      <c r="AV42" s="10" t="str">
        <f>IF(ISBLANK(Tables!H42),"",VLOOKUP(Tables!H42,Tables!$AX$2:$BA$53,4,0))</f>
        <v/>
      </c>
    </row>
    <row r="43" spans="27:48" x14ac:dyDescent="0.25">
      <c r="AT43" s="10">
        <v>42</v>
      </c>
      <c r="AU43" s="10" t="str">
        <f>IF(ISBLANK(Tables!H43),"",VLOOKUP(Tables!H43,Tables!$AX$2:$BA$53,3,0))</f>
        <v/>
      </c>
      <c r="AV43" s="10" t="str">
        <f>IF(ISBLANK(Tables!H43),"",VLOOKUP(Tables!H43,Tables!$AX$2:$BA$53,4,0))</f>
        <v/>
      </c>
    </row>
    <row r="44" spans="27:48" x14ac:dyDescent="0.25">
      <c r="AT44" s="10">
        <v>43</v>
      </c>
      <c r="AU44" s="10" t="str">
        <f>IF(ISBLANK(Tables!H44),"",VLOOKUP(Tables!H44,Tables!$AX$2:$BA$53,3,0))</f>
        <v/>
      </c>
      <c r="AV44" s="10" t="str">
        <f>IF(ISBLANK(Tables!H44),"",VLOOKUP(Tables!H44,Tables!$AX$2:$BA$53,4,0))</f>
        <v/>
      </c>
    </row>
    <row r="45" spans="27:48" x14ac:dyDescent="0.25">
      <c r="AT45" s="10">
        <v>44</v>
      </c>
      <c r="AU45" s="10" t="str">
        <f>IF(ISBLANK(Tables!H45),"",VLOOKUP(Tables!H45,Tables!$AX$2:$BA$53,3,0))</f>
        <v/>
      </c>
      <c r="AV45" s="10" t="str">
        <f>IF(ISBLANK(Tables!H45),"",VLOOKUP(Tables!H45,Tables!$AX$2:$BA$53,4,0))</f>
        <v/>
      </c>
    </row>
    <row r="46" spans="27:48" x14ac:dyDescent="0.25">
      <c r="AT46" s="10">
        <v>45</v>
      </c>
      <c r="AU46" s="10" t="str">
        <f>IF(ISBLANK(Tables!H46),"",VLOOKUP(Tables!H46,Tables!$AX$2:$BA$53,3,0))</f>
        <v/>
      </c>
      <c r="AV46" s="10" t="str">
        <f>IF(ISBLANK(Tables!H46),"",VLOOKUP(Tables!H46,Tables!$AX$2:$BA$53,4,0))</f>
        <v/>
      </c>
    </row>
    <row r="47" spans="27:48" x14ac:dyDescent="0.25">
      <c r="AT47" s="10">
        <v>46</v>
      </c>
      <c r="AU47" s="10" t="str">
        <f>IF(ISBLANK(Tables!H47),"",VLOOKUP(Tables!H47,Tables!$AX$2:$BA$53,3,0))</f>
        <v/>
      </c>
      <c r="AV47" s="10" t="str">
        <f>IF(ISBLANK(Tables!H47),"",VLOOKUP(Tables!H47,Tables!$AX$2:$BA$53,4,0))</f>
        <v/>
      </c>
    </row>
    <row r="48" spans="27:48" x14ac:dyDescent="0.25">
      <c r="AT48" s="10">
        <v>47</v>
      </c>
      <c r="AU48" s="10" t="str">
        <f>IF(ISBLANK(Tables!H48),"",VLOOKUP(Tables!H48,Tables!$AX$2:$BA$53,3,0))</f>
        <v/>
      </c>
      <c r="AV48" s="10" t="str">
        <f>IF(ISBLANK(Tables!H48),"",VLOOKUP(Tables!H48,Tables!$AX$2:$BA$53,4,0))</f>
        <v/>
      </c>
    </row>
    <row r="49" spans="46:48" x14ac:dyDescent="0.25">
      <c r="AT49" s="10">
        <v>48</v>
      </c>
      <c r="AU49" s="10" t="str">
        <f>IF(ISBLANK(Tables!H49),"",VLOOKUP(Tables!H49,Tables!$AX$2:$BA$53,3,0))</f>
        <v/>
      </c>
      <c r="AV49" s="10" t="str">
        <f>IF(ISBLANK(Tables!H49),"",VLOOKUP(Tables!H49,Tables!$AX$2:$BA$53,4,0))</f>
        <v/>
      </c>
    </row>
    <row r="50" spans="46:48" x14ac:dyDescent="0.25">
      <c r="AT50" s="10">
        <v>49</v>
      </c>
      <c r="AU50" s="10" t="str">
        <f>IF(ISBLANK(Tables!H50),"",VLOOKUP(Tables!H50,Tables!$AX$2:$BA$53,3,0))</f>
        <v/>
      </c>
      <c r="AV50" s="10" t="str">
        <f>IF(ISBLANK(Tables!H50),"",VLOOKUP(Tables!H50,Tables!$AX$2:$BA$53,4,0))</f>
        <v/>
      </c>
    </row>
    <row r="51" spans="46:48" x14ac:dyDescent="0.25">
      <c r="AT51" s="8">
        <v>50</v>
      </c>
      <c r="AU51" s="8" t="str">
        <f>IF(ISBLANK(Tables!H51),"",VLOOKUP(Tables!H51,Tables!$AX$2:$BA$53,3,0))</f>
        <v/>
      </c>
      <c r="AV51" s="8" t="str">
        <f>IF(ISBLANK(Tables!H51),"",VLOOKUP(Tables!H51,Tables!$AX$2:$BA$53,4,0))</f>
        <v/>
      </c>
    </row>
  </sheetData>
  <mergeCells count="6">
    <mergeCell ref="BC2:BF2"/>
    <mergeCell ref="BG2:BJ2"/>
    <mergeCell ref="BC18:BF18"/>
    <mergeCell ref="BG18:BJ18"/>
    <mergeCell ref="BB2:BB3"/>
    <mergeCell ref="BB18:BB19"/>
  </mergeCells>
  <conditionalFormatting sqref="AB2:AN16">
    <cfRule type="containsText" dxfId="11" priority="11" operator="containsText" text="♦">
      <formula>NOT(ISERROR(SEARCH("♦",AB2)))</formula>
    </cfRule>
    <cfRule type="containsText" dxfId="10" priority="12" operator="containsText" text="♥">
      <formula>NOT(ISERROR(SEARCH("♥",AB2)))</formula>
    </cfRule>
  </conditionalFormatting>
  <conditionalFormatting sqref="AB19:AN33">
    <cfRule type="containsText" dxfId="9" priority="9" operator="containsText" text="♦">
      <formula>NOT(ISERROR(SEARCH("♦",AB19)))</formula>
    </cfRule>
    <cfRule type="containsText" dxfId="8" priority="10" operator="containsText" text="♥">
      <formula>NOT(ISERROR(SEARCH("♥",AB19)))</formula>
    </cfRule>
  </conditionalFormatting>
  <conditionalFormatting sqref="BC4:BF16">
    <cfRule type="containsText" dxfId="7" priority="7" operator="containsText" text="♦">
      <formula>NOT(ISERROR(SEARCH("♦",BC4)))</formula>
    </cfRule>
    <cfRule type="containsText" dxfId="6" priority="8" operator="containsText" text="♥">
      <formula>NOT(ISERROR(SEARCH("♥",BC4)))</formula>
    </cfRule>
  </conditionalFormatting>
  <conditionalFormatting sqref="BG4:BJ16">
    <cfRule type="containsText" dxfId="5" priority="5" operator="containsText" text="♦">
      <formula>NOT(ISERROR(SEARCH("♦",BG4)))</formula>
    </cfRule>
    <cfRule type="containsText" dxfId="4" priority="6" operator="containsText" text="♥">
      <formula>NOT(ISERROR(SEARCH("♥",BG4)))</formula>
    </cfRule>
  </conditionalFormatting>
  <conditionalFormatting sqref="BC20:BF32">
    <cfRule type="containsText" dxfId="3" priority="3" operator="containsText" text="♦">
      <formula>NOT(ISERROR(SEARCH("♦",BC20)))</formula>
    </cfRule>
    <cfRule type="containsText" dxfId="2" priority="4" operator="containsText" text="♥">
      <formula>NOT(ISERROR(SEARCH("♥",BC20)))</formula>
    </cfRule>
  </conditionalFormatting>
  <conditionalFormatting sqref="BG20:BJ32">
    <cfRule type="containsText" dxfId="1" priority="1" operator="containsText" text="♦">
      <formula>NOT(ISERROR(SEARCH("♦",BG20)))</formula>
    </cfRule>
    <cfRule type="containsText" dxfId="0" priority="2" operator="containsText" text="♥">
      <formula>NOT(ISERROR(SEARCH("♥",BG20)))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72F9E-7643-4AF3-B78B-E86E6A672813}">
  <sheetPr codeName="Sheet9">
    <tabColor theme="0" tint="-0.249977111117893"/>
  </sheetPr>
  <dimension ref="B1:BS33"/>
  <sheetViews>
    <sheetView workbookViewId="0">
      <selection activeCell="J38" sqref="J38"/>
    </sheetView>
  </sheetViews>
  <sheetFormatPr defaultRowHeight="15" x14ac:dyDescent="0.25"/>
  <cols>
    <col min="1" max="2" width="2.85546875" customWidth="1"/>
    <col min="3" max="3" width="4.140625" bestFit="1" customWidth="1"/>
    <col min="4" max="7" width="2.85546875" customWidth="1"/>
    <col min="8" max="8" width="4.42578125" bestFit="1" customWidth="1"/>
    <col min="9" max="9" width="11.28515625" bestFit="1" customWidth="1"/>
    <col min="10" max="10" width="2.85546875" customWidth="1"/>
    <col min="11" max="11" width="6" bestFit="1" customWidth="1"/>
    <col min="12" max="15" width="2.85546875" customWidth="1"/>
    <col min="16" max="16" width="5" bestFit="1" customWidth="1"/>
    <col min="17" max="20" width="2.85546875" customWidth="1"/>
    <col min="21" max="21" width="5" bestFit="1" customWidth="1"/>
    <col min="22" max="25" width="2.85546875" customWidth="1"/>
    <col min="26" max="26" width="5" bestFit="1" customWidth="1"/>
    <col min="27" max="30" width="2.85546875" customWidth="1"/>
    <col min="31" max="31" width="5" bestFit="1" customWidth="1"/>
    <col min="32" max="35" width="2.85546875" customWidth="1"/>
    <col min="36" max="36" width="5" bestFit="1" customWidth="1"/>
    <col min="37" max="40" width="2.85546875" customWidth="1"/>
    <col min="41" max="41" width="5" bestFit="1" customWidth="1"/>
    <col min="42" max="45" width="2.85546875" customWidth="1"/>
    <col min="46" max="46" width="5" bestFit="1" customWidth="1"/>
    <col min="47" max="50" width="2.85546875" customWidth="1"/>
    <col min="51" max="51" width="5" bestFit="1" customWidth="1"/>
    <col min="52" max="55" width="2.85546875" customWidth="1"/>
    <col min="56" max="56" width="6" bestFit="1" customWidth="1"/>
    <col min="57" max="60" width="2.85546875" customWidth="1"/>
    <col min="61" max="61" width="6" bestFit="1" customWidth="1"/>
    <col min="62" max="65" width="2.85546875" customWidth="1"/>
    <col min="66" max="66" width="6" bestFit="1" customWidth="1"/>
    <col min="67" max="70" width="2.85546875" customWidth="1"/>
    <col min="71" max="71" width="6" bestFit="1" customWidth="1"/>
    <col min="72" max="101" width="2.85546875" customWidth="1"/>
  </cols>
  <sheetData>
    <row r="1" spans="2:71" x14ac:dyDescent="0.25">
      <c r="C1" s="33" t="s">
        <v>76</v>
      </c>
      <c r="I1" s="33" t="s">
        <v>71</v>
      </c>
      <c r="K1" s="33" t="s">
        <v>77</v>
      </c>
    </row>
    <row r="2" spans="2:71" ht="15.75" thickBot="1" x14ac:dyDescent="0.3">
      <c r="B2" s="57"/>
      <c r="C2" s="57" t="s">
        <v>1</v>
      </c>
      <c r="D2" s="57"/>
      <c r="E2" s="57"/>
      <c r="F2" s="57"/>
      <c r="G2" s="57"/>
      <c r="H2" s="57" t="s">
        <v>2</v>
      </c>
      <c r="I2" s="57" t="s">
        <v>78</v>
      </c>
      <c r="J2" s="57"/>
      <c r="K2" s="57">
        <v>1</v>
      </c>
      <c r="L2" s="57"/>
      <c r="M2" s="57"/>
      <c r="N2" s="57"/>
      <c r="O2" s="57"/>
      <c r="P2" s="57">
        <v>2</v>
      </c>
      <c r="Q2" s="57"/>
      <c r="R2" s="57"/>
      <c r="S2" s="57"/>
      <c r="T2" s="57"/>
      <c r="U2" s="57">
        <v>3</v>
      </c>
      <c r="V2" s="57"/>
      <c r="W2" s="57"/>
      <c r="X2" s="57"/>
      <c r="Y2" s="57"/>
      <c r="Z2" s="57">
        <v>4</v>
      </c>
      <c r="AA2" s="57"/>
      <c r="AB2" s="57"/>
      <c r="AC2" s="57"/>
      <c r="AD2" s="57"/>
      <c r="AE2" s="57">
        <v>5</v>
      </c>
      <c r="AF2" s="57"/>
      <c r="AG2" s="57"/>
      <c r="AH2" s="57"/>
      <c r="AI2" s="57"/>
      <c r="AJ2" s="57">
        <v>6</v>
      </c>
      <c r="AK2" s="57"/>
      <c r="AL2" s="57"/>
      <c r="AM2" s="57"/>
      <c r="AN2" s="57"/>
      <c r="AO2" s="57">
        <v>7</v>
      </c>
      <c r="AP2" s="57"/>
      <c r="AQ2" s="57"/>
      <c r="AR2" s="57"/>
      <c r="AS2" s="57"/>
      <c r="AT2" s="57">
        <v>8</v>
      </c>
      <c r="AU2" s="57"/>
      <c r="AV2" s="57"/>
      <c r="AW2" s="57"/>
      <c r="AX2" s="57"/>
      <c r="AY2" s="57">
        <v>9</v>
      </c>
      <c r="AZ2" s="57"/>
      <c r="BA2" s="57"/>
      <c r="BB2" s="57"/>
      <c r="BC2" s="57"/>
      <c r="BD2" s="57">
        <v>10</v>
      </c>
      <c r="BE2" s="57"/>
      <c r="BF2" s="57"/>
      <c r="BG2" s="57"/>
      <c r="BH2" s="57"/>
      <c r="BI2" s="57">
        <v>11</v>
      </c>
      <c r="BJ2" s="57"/>
      <c r="BK2" s="57"/>
      <c r="BL2" s="57"/>
      <c r="BM2" s="57"/>
      <c r="BN2" s="57">
        <v>12</v>
      </c>
      <c r="BO2" s="57"/>
      <c r="BP2" s="57"/>
      <c r="BQ2" s="57"/>
      <c r="BR2" s="57"/>
      <c r="BS2" s="57">
        <v>13</v>
      </c>
    </row>
    <row r="3" spans="2:71" x14ac:dyDescent="0.25">
      <c r="B3" s="57" t="s">
        <v>72</v>
      </c>
      <c r="C3" s="61" t="str">
        <f>IF(OR(ISBLANK(C$2),ISBLANK($B3)),"",_xlfn.CONCAT(C$2,", ",$B3))</f>
        <v>A, S</v>
      </c>
      <c r="D3" s="62" t="str">
        <f t="shared" ref="D3:H18" si="0">IF(OR(ISBLANK(D$2),ISBLANK($B3)),"",_xlfn.CONCAT(D$2,", ",$B3))</f>
        <v/>
      </c>
      <c r="E3" s="62" t="str">
        <f t="shared" si="0"/>
        <v/>
      </c>
      <c r="F3" s="62" t="str">
        <f t="shared" si="0"/>
        <v/>
      </c>
      <c r="G3" s="62" t="str">
        <f t="shared" si="0"/>
        <v/>
      </c>
      <c r="H3" s="63" t="str">
        <f t="shared" si="0"/>
        <v>K, S</v>
      </c>
      <c r="I3" s="58" t="str">
        <f t="shared" ref="I3:I33" si="1">IF(ISBLANK($J3),"",_xlfn.CONCAT($I$2,", ",$J3))</f>
        <v>WS, 1</v>
      </c>
      <c r="J3" s="57">
        <v>1</v>
      </c>
      <c r="K3" s="61" t="str">
        <f t="shared" ref="K3:T12" si="2">IF(OR(ISBLANK(K$2),ISBLANK($J3)),"",_xlfn.CONCAT(K$2,", ",$J3))</f>
        <v>1, 1</v>
      </c>
      <c r="L3" s="62" t="str">
        <f t="shared" si="2"/>
        <v/>
      </c>
      <c r="M3" s="62" t="str">
        <f t="shared" si="2"/>
        <v/>
      </c>
      <c r="N3" s="62" t="str">
        <f t="shared" si="2"/>
        <v/>
      </c>
      <c r="O3" s="62" t="str">
        <f t="shared" si="2"/>
        <v/>
      </c>
      <c r="P3" s="62" t="str">
        <f t="shared" si="2"/>
        <v>2, 1</v>
      </c>
      <c r="Q3" s="62" t="str">
        <f t="shared" si="2"/>
        <v/>
      </c>
      <c r="R3" s="62" t="str">
        <f t="shared" si="2"/>
        <v/>
      </c>
      <c r="S3" s="62" t="str">
        <f t="shared" si="2"/>
        <v/>
      </c>
      <c r="T3" s="62" t="str">
        <f t="shared" si="2"/>
        <v/>
      </c>
      <c r="U3" s="62" t="str">
        <f t="shared" ref="U3:AD12" si="3">IF(OR(ISBLANK(U$2),ISBLANK($J3)),"",_xlfn.CONCAT(U$2,", ",$J3))</f>
        <v>3, 1</v>
      </c>
      <c r="V3" s="62" t="str">
        <f t="shared" si="3"/>
        <v/>
      </c>
      <c r="W3" s="62" t="str">
        <f t="shared" si="3"/>
        <v/>
      </c>
      <c r="X3" s="62" t="str">
        <f t="shared" si="3"/>
        <v/>
      </c>
      <c r="Y3" s="62" t="str">
        <f t="shared" si="3"/>
        <v/>
      </c>
      <c r="Z3" s="62" t="str">
        <f t="shared" si="3"/>
        <v>4, 1</v>
      </c>
      <c r="AA3" s="62" t="str">
        <f t="shared" si="3"/>
        <v/>
      </c>
      <c r="AB3" s="62" t="str">
        <f t="shared" si="3"/>
        <v/>
      </c>
      <c r="AC3" s="62" t="str">
        <f t="shared" si="3"/>
        <v/>
      </c>
      <c r="AD3" s="62" t="str">
        <f t="shared" si="3"/>
        <v/>
      </c>
      <c r="AE3" s="62" t="str">
        <f t="shared" ref="AE3:AN12" si="4">IF(OR(ISBLANK(AE$2),ISBLANK($J3)),"",_xlfn.CONCAT(AE$2,", ",$J3))</f>
        <v>5, 1</v>
      </c>
      <c r="AF3" s="62" t="str">
        <f t="shared" si="4"/>
        <v/>
      </c>
      <c r="AG3" s="62" t="str">
        <f t="shared" si="4"/>
        <v/>
      </c>
      <c r="AH3" s="62" t="str">
        <f t="shared" si="4"/>
        <v/>
      </c>
      <c r="AI3" s="62" t="str">
        <f t="shared" si="4"/>
        <v/>
      </c>
      <c r="AJ3" s="62" t="str">
        <f t="shared" si="4"/>
        <v>6, 1</v>
      </c>
      <c r="AK3" s="62" t="str">
        <f t="shared" si="4"/>
        <v/>
      </c>
      <c r="AL3" s="62" t="str">
        <f t="shared" si="4"/>
        <v/>
      </c>
      <c r="AM3" s="62" t="str">
        <f t="shared" si="4"/>
        <v/>
      </c>
      <c r="AN3" s="62" t="str">
        <f t="shared" si="4"/>
        <v/>
      </c>
      <c r="AO3" s="62" t="str">
        <f t="shared" ref="AO3:AX12" si="5">IF(OR(ISBLANK(AO$2),ISBLANK($J3)),"",_xlfn.CONCAT(AO$2,", ",$J3))</f>
        <v>7, 1</v>
      </c>
      <c r="AP3" s="62" t="str">
        <f t="shared" si="5"/>
        <v/>
      </c>
      <c r="AQ3" s="62" t="str">
        <f t="shared" si="5"/>
        <v/>
      </c>
      <c r="AR3" s="62" t="str">
        <f t="shared" si="5"/>
        <v/>
      </c>
      <c r="AS3" s="62" t="str">
        <f t="shared" si="5"/>
        <v/>
      </c>
      <c r="AT3" s="62" t="str">
        <f t="shared" si="5"/>
        <v>8, 1</v>
      </c>
      <c r="AU3" s="62" t="str">
        <f t="shared" si="5"/>
        <v/>
      </c>
      <c r="AV3" s="62" t="str">
        <f t="shared" si="5"/>
        <v/>
      </c>
      <c r="AW3" s="62" t="str">
        <f t="shared" si="5"/>
        <v/>
      </c>
      <c r="AX3" s="62" t="str">
        <f t="shared" si="5"/>
        <v/>
      </c>
      <c r="AY3" s="62" t="str">
        <f t="shared" ref="AY3:BH12" si="6">IF(OR(ISBLANK(AY$2),ISBLANK($J3)),"",_xlfn.CONCAT(AY$2,", ",$J3))</f>
        <v>9, 1</v>
      </c>
      <c r="AZ3" s="62" t="str">
        <f t="shared" si="6"/>
        <v/>
      </c>
      <c r="BA3" s="62" t="str">
        <f t="shared" si="6"/>
        <v/>
      </c>
      <c r="BB3" s="62" t="str">
        <f t="shared" si="6"/>
        <v/>
      </c>
      <c r="BC3" s="62" t="str">
        <f t="shared" si="6"/>
        <v/>
      </c>
      <c r="BD3" s="62" t="str">
        <f t="shared" si="6"/>
        <v>10, 1</v>
      </c>
      <c r="BE3" s="62" t="str">
        <f t="shared" si="6"/>
        <v/>
      </c>
      <c r="BF3" s="62" t="str">
        <f t="shared" si="6"/>
        <v/>
      </c>
      <c r="BG3" s="62" t="str">
        <f t="shared" si="6"/>
        <v/>
      </c>
      <c r="BH3" s="62" t="str">
        <f t="shared" si="6"/>
        <v/>
      </c>
      <c r="BI3" s="62" t="str">
        <f t="shared" ref="BI3:BS12" si="7">IF(OR(ISBLANK(BI$2),ISBLANK($J3)),"",_xlfn.CONCAT(BI$2,", ",$J3))</f>
        <v>11, 1</v>
      </c>
      <c r="BJ3" s="62" t="str">
        <f t="shared" si="7"/>
        <v/>
      </c>
      <c r="BK3" s="62" t="str">
        <f t="shared" si="7"/>
        <v/>
      </c>
      <c r="BL3" s="62" t="str">
        <f t="shared" si="7"/>
        <v/>
      </c>
      <c r="BM3" s="62" t="str">
        <f t="shared" si="7"/>
        <v/>
      </c>
      <c r="BN3" s="62" t="str">
        <f t="shared" si="7"/>
        <v>12, 1</v>
      </c>
      <c r="BO3" s="62" t="str">
        <f t="shared" si="7"/>
        <v/>
      </c>
      <c r="BP3" s="62" t="str">
        <f t="shared" si="7"/>
        <v/>
      </c>
      <c r="BQ3" s="62" t="str">
        <f t="shared" si="7"/>
        <v/>
      </c>
      <c r="BR3" s="62" t="str">
        <f t="shared" si="7"/>
        <v/>
      </c>
      <c r="BS3" s="63" t="str">
        <f t="shared" si="7"/>
        <v>13, 1</v>
      </c>
    </row>
    <row r="4" spans="2:71" x14ac:dyDescent="0.25">
      <c r="B4" s="57"/>
      <c r="C4" s="64" t="str">
        <f t="shared" ref="C4:H21" si="8">IF(OR(ISBLANK(C$2),ISBLANK($B4)),"",_xlfn.CONCAT(C$2,", ",$B4))</f>
        <v/>
      </c>
      <c r="D4" s="57" t="str">
        <f t="shared" si="0"/>
        <v/>
      </c>
      <c r="E4" s="57" t="str">
        <f t="shared" si="0"/>
        <v/>
      </c>
      <c r="F4" s="57" t="str">
        <f t="shared" si="0"/>
        <v/>
      </c>
      <c r="G4" s="57" t="str">
        <f t="shared" si="0"/>
        <v/>
      </c>
      <c r="H4" s="65" t="str">
        <f t="shared" si="0"/>
        <v/>
      </c>
      <c r="I4" s="59" t="str">
        <f t="shared" si="1"/>
        <v/>
      </c>
      <c r="J4" s="57"/>
      <c r="K4" s="64" t="str">
        <f t="shared" si="2"/>
        <v/>
      </c>
      <c r="L4" s="57" t="str">
        <f t="shared" si="2"/>
        <v/>
      </c>
      <c r="M4" s="57" t="str">
        <f t="shared" si="2"/>
        <v/>
      </c>
      <c r="N4" s="57" t="str">
        <f t="shared" si="2"/>
        <v/>
      </c>
      <c r="O4" s="57" t="str">
        <f t="shared" si="2"/>
        <v/>
      </c>
      <c r="P4" s="57" t="str">
        <f t="shared" si="2"/>
        <v/>
      </c>
      <c r="Q4" s="57" t="str">
        <f t="shared" si="2"/>
        <v/>
      </c>
      <c r="R4" s="57" t="str">
        <f t="shared" si="2"/>
        <v/>
      </c>
      <c r="S4" s="57" t="str">
        <f t="shared" si="2"/>
        <v/>
      </c>
      <c r="T4" s="57" t="str">
        <f t="shared" si="2"/>
        <v/>
      </c>
      <c r="U4" s="57" t="str">
        <f t="shared" si="3"/>
        <v/>
      </c>
      <c r="V4" s="57" t="str">
        <f t="shared" si="3"/>
        <v/>
      </c>
      <c r="W4" s="57" t="str">
        <f t="shared" si="3"/>
        <v/>
      </c>
      <c r="X4" s="57" t="str">
        <f t="shared" si="3"/>
        <v/>
      </c>
      <c r="Y4" s="57" t="str">
        <f t="shared" si="3"/>
        <v/>
      </c>
      <c r="Z4" s="57" t="str">
        <f t="shared" si="3"/>
        <v/>
      </c>
      <c r="AA4" s="57" t="str">
        <f t="shared" si="3"/>
        <v/>
      </c>
      <c r="AB4" s="57" t="str">
        <f t="shared" si="3"/>
        <v/>
      </c>
      <c r="AC4" s="57" t="str">
        <f t="shared" si="3"/>
        <v/>
      </c>
      <c r="AD4" s="57" t="str">
        <f t="shared" si="3"/>
        <v/>
      </c>
      <c r="AE4" s="57" t="str">
        <f t="shared" si="4"/>
        <v/>
      </c>
      <c r="AF4" s="57" t="str">
        <f t="shared" si="4"/>
        <v/>
      </c>
      <c r="AG4" s="57" t="str">
        <f t="shared" si="4"/>
        <v/>
      </c>
      <c r="AH4" s="57" t="str">
        <f t="shared" si="4"/>
        <v/>
      </c>
      <c r="AI4" s="57" t="str">
        <f t="shared" si="4"/>
        <v/>
      </c>
      <c r="AJ4" s="57" t="str">
        <f t="shared" si="4"/>
        <v/>
      </c>
      <c r="AK4" s="57" t="str">
        <f t="shared" si="4"/>
        <v/>
      </c>
      <c r="AL4" s="57" t="str">
        <f t="shared" si="4"/>
        <v/>
      </c>
      <c r="AM4" s="57" t="str">
        <f t="shared" si="4"/>
        <v/>
      </c>
      <c r="AN4" s="57" t="str">
        <f t="shared" si="4"/>
        <v/>
      </c>
      <c r="AO4" s="57" t="str">
        <f t="shared" si="5"/>
        <v/>
      </c>
      <c r="AP4" s="57" t="str">
        <f t="shared" si="5"/>
        <v/>
      </c>
      <c r="AQ4" s="57" t="str">
        <f t="shared" si="5"/>
        <v/>
      </c>
      <c r="AR4" s="57" t="str">
        <f t="shared" si="5"/>
        <v/>
      </c>
      <c r="AS4" s="57" t="str">
        <f t="shared" si="5"/>
        <v/>
      </c>
      <c r="AT4" s="57" t="str">
        <f t="shared" si="5"/>
        <v/>
      </c>
      <c r="AU4" s="57" t="str">
        <f t="shared" si="5"/>
        <v/>
      </c>
      <c r="AV4" s="57" t="str">
        <f t="shared" si="5"/>
        <v/>
      </c>
      <c r="AW4" s="57" t="str">
        <f t="shared" si="5"/>
        <v/>
      </c>
      <c r="AX4" s="57" t="str">
        <f t="shared" si="5"/>
        <v/>
      </c>
      <c r="AY4" s="57" t="str">
        <f t="shared" si="6"/>
        <v/>
      </c>
      <c r="AZ4" s="57" t="str">
        <f t="shared" si="6"/>
        <v/>
      </c>
      <c r="BA4" s="57" t="str">
        <f t="shared" si="6"/>
        <v/>
      </c>
      <c r="BB4" s="57" t="str">
        <f t="shared" si="6"/>
        <v/>
      </c>
      <c r="BC4" s="57" t="str">
        <f t="shared" si="6"/>
        <v/>
      </c>
      <c r="BD4" s="57" t="str">
        <f t="shared" si="6"/>
        <v/>
      </c>
      <c r="BE4" s="57" t="str">
        <f t="shared" si="6"/>
        <v/>
      </c>
      <c r="BF4" s="57" t="str">
        <f t="shared" si="6"/>
        <v/>
      </c>
      <c r="BG4" s="57" t="str">
        <f t="shared" si="6"/>
        <v/>
      </c>
      <c r="BH4" s="57" t="str">
        <f t="shared" si="6"/>
        <v/>
      </c>
      <c r="BI4" s="57" t="str">
        <f t="shared" si="7"/>
        <v/>
      </c>
      <c r="BJ4" s="57" t="str">
        <f t="shared" si="7"/>
        <v/>
      </c>
      <c r="BK4" s="57" t="str">
        <f t="shared" si="7"/>
        <v/>
      </c>
      <c r="BL4" s="57" t="str">
        <f t="shared" si="7"/>
        <v/>
      </c>
      <c r="BM4" s="57" t="str">
        <f t="shared" si="7"/>
        <v/>
      </c>
      <c r="BN4" s="57" t="str">
        <f t="shared" si="7"/>
        <v/>
      </c>
      <c r="BO4" s="57" t="str">
        <f t="shared" si="7"/>
        <v/>
      </c>
      <c r="BP4" s="57" t="str">
        <f t="shared" si="7"/>
        <v/>
      </c>
      <c r="BQ4" s="57" t="str">
        <f t="shared" si="7"/>
        <v/>
      </c>
      <c r="BR4" s="57" t="str">
        <f t="shared" si="7"/>
        <v/>
      </c>
      <c r="BS4" s="65" t="str">
        <f t="shared" si="7"/>
        <v/>
      </c>
    </row>
    <row r="5" spans="2:71" x14ac:dyDescent="0.25">
      <c r="B5" s="57"/>
      <c r="C5" s="64" t="str">
        <f t="shared" si="8"/>
        <v/>
      </c>
      <c r="D5" s="57" t="str">
        <f t="shared" si="0"/>
        <v/>
      </c>
      <c r="E5" s="57" t="str">
        <f t="shared" si="0"/>
        <v/>
      </c>
      <c r="F5" s="57" t="str">
        <f t="shared" si="0"/>
        <v/>
      </c>
      <c r="G5" s="57" t="str">
        <f t="shared" si="0"/>
        <v/>
      </c>
      <c r="H5" s="65" t="str">
        <f t="shared" si="0"/>
        <v/>
      </c>
      <c r="I5" s="59" t="str">
        <f t="shared" si="1"/>
        <v>WS, 2</v>
      </c>
      <c r="J5" s="57">
        <v>2</v>
      </c>
      <c r="K5" s="64" t="str">
        <f t="shared" si="2"/>
        <v>1, 2</v>
      </c>
      <c r="L5" s="57" t="str">
        <f t="shared" si="2"/>
        <v/>
      </c>
      <c r="M5" s="57" t="str">
        <f t="shared" si="2"/>
        <v/>
      </c>
      <c r="N5" s="57" t="str">
        <f t="shared" si="2"/>
        <v/>
      </c>
      <c r="O5" s="57" t="str">
        <f t="shared" si="2"/>
        <v/>
      </c>
      <c r="P5" s="57" t="str">
        <f t="shared" si="2"/>
        <v>2, 2</v>
      </c>
      <c r="Q5" s="57" t="str">
        <f t="shared" si="2"/>
        <v/>
      </c>
      <c r="R5" s="57" t="str">
        <f t="shared" si="2"/>
        <v/>
      </c>
      <c r="S5" s="57" t="str">
        <f t="shared" si="2"/>
        <v/>
      </c>
      <c r="T5" s="57" t="str">
        <f t="shared" si="2"/>
        <v/>
      </c>
      <c r="U5" s="57" t="str">
        <f t="shared" si="3"/>
        <v>3, 2</v>
      </c>
      <c r="V5" s="57" t="str">
        <f t="shared" si="3"/>
        <v/>
      </c>
      <c r="W5" s="57" t="str">
        <f t="shared" si="3"/>
        <v/>
      </c>
      <c r="X5" s="57" t="str">
        <f t="shared" si="3"/>
        <v/>
      </c>
      <c r="Y5" s="57" t="str">
        <f t="shared" si="3"/>
        <v/>
      </c>
      <c r="Z5" s="57" t="str">
        <f t="shared" si="3"/>
        <v>4, 2</v>
      </c>
      <c r="AA5" s="57" t="str">
        <f t="shared" si="3"/>
        <v/>
      </c>
      <c r="AB5" s="57" t="str">
        <f t="shared" si="3"/>
        <v/>
      </c>
      <c r="AC5" s="57" t="str">
        <f t="shared" si="3"/>
        <v/>
      </c>
      <c r="AD5" s="57" t="str">
        <f t="shared" si="3"/>
        <v/>
      </c>
      <c r="AE5" s="57" t="str">
        <f t="shared" si="4"/>
        <v>5, 2</v>
      </c>
      <c r="AF5" s="57" t="str">
        <f t="shared" si="4"/>
        <v/>
      </c>
      <c r="AG5" s="57" t="str">
        <f t="shared" si="4"/>
        <v/>
      </c>
      <c r="AH5" s="57" t="str">
        <f t="shared" si="4"/>
        <v/>
      </c>
      <c r="AI5" s="57" t="str">
        <f t="shared" si="4"/>
        <v/>
      </c>
      <c r="AJ5" s="57" t="str">
        <f t="shared" si="4"/>
        <v>6, 2</v>
      </c>
      <c r="AK5" s="57" t="str">
        <f t="shared" si="4"/>
        <v/>
      </c>
      <c r="AL5" s="57" t="str">
        <f t="shared" si="4"/>
        <v/>
      </c>
      <c r="AM5" s="57" t="str">
        <f t="shared" si="4"/>
        <v/>
      </c>
      <c r="AN5" s="57" t="str">
        <f t="shared" si="4"/>
        <v/>
      </c>
      <c r="AO5" s="57" t="str">
        <f t="shared" si="5"/>
        <v>7, 2</v>
      </c>
      <c r="AP5" s="57" t="str">
        <f t="shared" si="5"/>
        <v/>
      </c>
      <c r="AQ5" s="57" t="str">
        <f t="shared" si="5"/>
        <v/>
      </c>
      <c r="AR5" s="57" t="str">
        <f t="shared" si="5"/>
        <v/>
      </c>
      <c r="AS5" s="57" t="str">
        <f t="shared" si="5"/>
        <v/>
      </c>
      <c r="AT5" s="57" t="str">
        <f t="shared" si="5"/>
        <v>8, 2</v>
      </c>
      <c r="AU5" s="57" t="str">
        <f t="shared" si="5"/>
        <v/>
      </c>
      <c r="AV5" s="57" t="str">
        <f t="shared" si="5"/>
        <v/>
      </c>
      <c r="AW5" s="57" t="str">
        <f t="shared" si="5"/>
        <v/>
      </c>
      <c r="AX5" s="57" t="str">
        <f t="shared" si="5"/>
        <v/>
      </c>
      <c r="AY5" s="57" t="str">
        <f t="shared" si="6"/>
        <v>9, 2</v>
      </c>
      <c r="AZ5" s="57" t="str">
        <f t="shared" si="6"/>
        <v/>
      </c>
      <c r="BA5" s="57" t="str">
        <f t="shared" si="6"/>
        <v/>
      </c>
      <c r="BB5" s="57" t="str">
        <f t="shared" si="6"/>
        <v/>
      </c>
      <c r="BC5" s="57" t="str">
        <f t="shared" si="6"/>
        <v/>
      </c>
      <c r="BD5" s="57" t="str">
        <f t="shared" si="6"/>
        <v>10, 2</v>
      </c>
      <c r="BE5" s="57" t="str">
        <f t="shared" si="6"/>
        <v/>
      </c>
      <c r="BF5" s="57" t="str">
        <f t="shared" si="6"/>
        <v/>
      </c>
      <c r="BG5" s="57" t="str">
        <f t="shared" si="6"/>
        <v/>
      </c>
      <c r="BH5" s="57" t="str">
        <f t="shared" si="6"/>
        <v/>
      </c>
      <c r="BI5" s="57" t="str">
        <f t="shared" si="7"/>
        <v>11, 2</v>
      </c>
      <c r="BJ5" s="57" t="str">
        <f t="shared" si="7"/>
        <v/>
      </c>
      <c r="BK5" s="57" t="str">
        <f t="shared" si="7"/>
        <v/>
      </c>
      <c r="BL5" s="57" t="str">
        <f t="shared" si="7"/>
        <v/>
      </c>
      <c r="BM5" s="57" t="str">
        <f t="shared" si="7"/>
        <v/>
      </c>
      <c r="BN5" s="57" t="str">
        <f t="shared" si="7"/>
        <v>12, 2</v>
      </c>
      <c r="BO5" s="57" t="str">
        <f t="shared" si="7"/>
        <v/>
      </c>
      <c r="BP5" s="57" t="str">
        <f t="shared" si="7"/>
        <v/>
      </c>
      <c r="BQ5" s="57" t="str">
        <f t="shared" si="7"/>
        <v/>
      </c>
      <c r="BR5" s="57" t="str">
        <f t="shared" si="7"/>
        <v/>
      </c>
      <c r="BS5" s="65" t="str">
        <f t="shared" si="7"/>
        <v>13, 2</v>
      </c>
    </row>
    <row r="6" spans="2:71" x14ac:dyDescent="0.25">
      <c r="B6" s="57"/>
      <c r="C6" s="64" t="str">
        <f t="shared" si="8"/>
        <v/>
      </c>
      <c r="D6" s="57" t="str">
        <f t="shared" si="0"/>
        <v/>
      </c>
      <c r="E6" s="57" t="str">
        <f t="shared" si="0"/>
        <v/>
      </c>
      <c r="F6" s="57" t="str">
        <f t="shared" si="0"/>
        <v/>
      </c>
      <c r="G6" s="57" t="str">
        <f t="shared" si="0"/>
        <v/>
      </c>
      <c r="H6" s="65" t="str">
        <f t="shared" si="0"/>
        <v/>
      </c>
      <c r="I6" s="59" t="str">
        <f t="shared" si="1"/>
        <v/>
      </c>
      <c r="J6" s="57"/>
      <c r="K6" s="64" t="str">
        <f t="shared" si="2"/>
        <v/>
      </c>
      <c r="L6" s="57" t="str">
        <f t="shared" si="2"/>
        <v/>
      </c>
      <c r="M6" s="57" t="str">
        <f t="shared" si="2"/>
        <v/>
      </c>
      <c r="N6" s="57" t="str">
        <f t="shared" si="2"/>
        <v/>
      </c>
      <c r="O6" s="57" t="str">
        <f t="shared" si="2"/>
        <v/>
      </c>
      <c r="P6" s="57" t="str">
        <f t="shared" si="2"/>
        <v/>
      </c>
      <c r="Q6" s="57" t="str">
        <f t="shared" si="2"/>
        <v/>
      </c>
      <c r="R6" s="57" t="str">
        <f t="shared" si="2"/>
        <v/>
      </c>
      <c r="S6" s="57" t="str">
        <f t="shared" si="2"/>
        <v/>
      </c>
      <c r="T6" s="57" t="str">
        <f t="shared" si="2"/>
        <v/>
      </c>
      <c r="U6" s="57" t="str">
        <f t="shared" si="3"/>
        <v/>
      </c>
      <c r="V6" s="57" t="str">
        <f t="shared" si="3"/>
        <v/>
      </c>
      <c r="W6" s="57" t="str">
        <f t="shared" si="3"/>
        <v/>
      </c>
      <c r="X6" s="57" t="str">
        <f t="shared" si="3"/>
        <v/>
      </c>
      <c r="Y6" s="57" t="str">
        <f t="shared" si="3"/>
        <v/>
      </c>
      <c r="Z6" s="57" t="str">
        <f t="shared" si="3"/>
        <v/>
      </c>
      <c r="AA6" s="57" t="str">
        <f t="shared" si="3"/>
        <v/>
      </c>
      <c r="AB6" s="57" t="str">
        <f t="shared" si="3"/>
        <v/>
      </c>
      <c r="AC6" s="57" t="str">
        <f t="shared" si="3"/>
        <v/>
      </c>
      <c r="AD6" s="57" t="str">
        <f t="shared" si="3"/>
        <v/>
      </c>
      <c r="AE6" s="57" t="str">
        <f t="shared" si="4"/>
        <v/>
      </c>
      <c r="AF6" s="57" t="str">
        <f t="shared" si="4"/>
        <v/>
      </c>
      <c r="AG6" s="57" t="str">
        <f t="shared" si="4"/>
        <v/>
      </c>
      <c r="AH6" s="57" t="str">
        <f t="shared" si="4"/>
        <v/>
      </c>
      <c r="AI6" s="57" t="str">
        <f t="shared" si="4"/>
        <v/>
      </c>
      <c r="AJ6" s="57" t="str">
        <f t="shared" si="4"/>
        <v/>
      </c>
      <c r="AK6" s="57" t="str">
        <f t="shared" si="4"/>
        <v/>
      </c>
      <c r="AL6" s="57" t="str">
        <f t="shared" si="4"/>
        <v/>
      </c>
      <c r="AM6" s="57" t="str">
        <f t="shared" si="4"/>
        <v/>
      </c>
      <c r="AN6" s="57" t="str">
        <f t="shared" si="4"/>
        <v/>
      </c>
      <c r="AO6" s="57" t="str">
        <f t="shared" si="5"/>
        <v/>
      </c>
      <c r="AP6" s="57" t="str">
        <f t="shared" si="5"/>
        <v/>
      </c>
      <c r="AQ6" s="57" t="str">
        <f t="shared" si="5"/>
        <v/>
      </c>
      <c r="AR6" s="57" t="str">
        <f t="shared" si="5"/>
        <v/>
      </c>
      <c r="AS6" s="57" t="str">
        <f t="shared" si="5"/>
        <v/>
      </c>
      <c r="AT6" s="57" t="str">
        <f t="shared" si="5"/>
        <v/>
      </c>
      <c r="AU6" s="57" t="str">
        <f t="shared" si="5"/>
        <v/>
      </c>
      <c r="AV6" s="57" t="str">
        <f t="shared" si="5"/>
        <v/>
      </c>
      <c r="AW6" s="57" t="str">
        <f t="shared" si="5"/>
        <v/>
      </c>
      <c r="AX6" s="57" t="str">
        <f t="shared" si="5"/>
        <v/>
      </c>
      <c r="AY6" s="57" t="str">
        <f t="shared" si="6"/>
        <v/>
      </c>
      <c r="AZ6" s="57" t="str">
        <f t="shared" si="6"/>
        <v/>
      </c>
      <c r="BA6" s="57" t="str">
        <f t="shared" si="6"/>
        <v/>
      </c>
      <c r="BB6" s="57" t="str">
        <f t="shared" si="6"/>
        <v/>
      </c>
      <c r="BC6" s="57" t="str">
        <f t="shared" si="6"/>
        <v/>
      </c>
      <c r="BD6" s="57" t="str">
        <f t="shared" si="6"/>
        <v/>
      </c>
      <c r="BE6" s="57" t="str">
        <f t="shared" si="6"/>
        <v/>
      </c>
      <c r="BF6" s="57" t="str">
        <f t="shared" si="6"/>
        <v/>
      </c>
      <c r="BG6" s="57" t="str">
        <f t="shared" si="6"/>
        <v/>
      </c>
      <c r="BH6" s="57" t="str">
        <f t="shared" si="6"/>
        <v/>
      </c>
      <c r="BI6" s="57" t="str">
        <f t="shared" si="7"/>
        <v/>
      </c>
      <c r="BJ6" s="57" t="str">
        <f t="shared" si="7"/>
        <v/>
      </c>
      <c r="BK6" s="57" t="str">
        <f t="shared" si="7"/>
        <v/>
      </c>
      <c r="BL6" s="57" t="str">
        <f t="shared" si="7"/>
        <v/>
      </c>
      <c r="BM6" s="57" t="str">
        <f t="shared" si="7"/>
        <v/>
      </c>
      <c r="BN6" s="57" t="str">
        <f t="shared" si="7"/>
        <v/>
      </c>
      <c r="BO6" s="57" t="str">
        <f t="shared" si="7"/>
        <v/>
      </c>
      <c r="BP6" s="57" t="str">
        <f t="shared" si="7"/>
        <v/>
      </c>
      <c r="BQ6" s="57" t="str">
        <f t="shared" si="7"/>
        <v/>
      </c>
      <c r="BR6" s="57" t="str">
        <f t="shared" si="7"/>
        <v/>
      </c>
      <c r="BS6" s="65" t="str">
        <f t="shared" si="7"/>
        <v/>
      </c>
    </row>
    <row r="7" spans="2:71" x14ac:dyDescent="0.25">
      <c r="B7" s="57"/>
      <c r="C7" s="64" t="str">
        <f t="shared" si="8"/>
        <v/>
      </c>
      <c r="D7" s="57" t="str">
        <f t="shared" si="0"/>
        <v/>
      </c>
      <c r="E7" s="57" t="str">
        <f t="shared" si="0"/>
        <v/>
      </c>
      <c r="F7" s="57" t="str">
        <f t="shared" si="0"/>
        <v/>
      </c>
      <c r="G7" s="57" t="str">
        <f t="shared" si="0"/>
        <v/>
      </c>
      <c r="H7" s="65" t="str">
        <f t="shared" si="0"/>
        <v/>
      </c>
      <c r="I7" s="59" t="str">
        <f t="shared" si="1"/>
        <v>WS, 3</v>
      </c>
      <c r="J7" s="57">
        <v>3</v>
      </c>
      <c r="K7" s="64" t="str">
        <f t="shared" si="2"/>
        <v>1, 3</v>
      </c>
      <c r="L7" s="57" t="str">
        <f t="shared" si="2"/>
        <v/>
      </c>
      <c r="M7" s="57" t="str">
        <f t="shared" si="2"/>
        <v/>
      </c>
      <c r="N7" s="57" t="str">
        <f t="shared" si="2"/>
        <v/>
      </c>
      <c r="O7" s="57" t="str">
        <f t="shared" si="2"/>
        <v/>
      </c>
      <c r="P7" s="57" t="str">
        <f t="shared" si="2"/>
        <v>2, 3</v>
      </c>
      <c r="Q7" s="57" t="str">
        <f t="shared" si="2"/>
        <v/>
      </c>
      <c r="R7" s="57" t="str">
        <f t="shared" si="2"/>
        <v/>
      </c>
      <c r="S7" s="57" t="str">
        <f t="shared" si="2"/>
        <v/>
      </c>
      <c r="T7" s="57" t="str">
        <f t="shared" si="2"/>
        <v/>
      </c>
      <c r="U7" s="57" t="str">
        <f t="shared" si="3"/>
        <v>3, 3</v>
      </c>
      <c r="V7" s="57" t="str">
        <f t="shared" si="3"/>
        <v/>
      </c>
      <c r="W7" s="57" t="str">
        <f t="shared" si="3"/>
        <v/>
      </c>
      <c r="X7" s="57" t="str">
        <f t="shared" si="3"/>
        <v/>
      </c>
      <c r="Y7" s="57" t="str">
        <f t="shared" si="3"/>
        <v/>
      </c>
      <c r="Z7" s="57" t="str">
        <f t="shared" si="3"/>
        <v>4, 3</v>
      </c>
      <c r="AA7" s="57" t="str">
        <f t="shared" si="3"/>
        <v/>
      </c>
      <c r="AB7" s="57" t="str">
        <f t="shared" si="3"/>
        <v/>
      </c>
      <c r="AC7" s="57" t="str">
        <f t="shared" si="3"/>
        <v/>
      </c>
      <c r="AD7" s="57" t="str">
        <f t="shared" si="3"/>
        <v/>
      </c>
      <c r="AE7" s="57" t="str">
        <f t="shared" si="4"/>
        <v>5, 3</v>
      </c>
      <c r="AF7" s="57" t="str">
        <f t="shared" si="4"/>
        <v/>
      </c>
      <c r="AG7" s="57" t="str">
        <f t="shared" si="4"/>
        <v/>
      </c>
      <c r="AH7" s="57" t="str">
        <f t="shared" si="4"/>
        <v/>
      </c>
      <c r="AI7" s="57" t="str">
        <f t="shared" si="4"/>
        <v/>
      </c>
      <c r="AJ7" s="57" t="str">
        <f t="shared" si="4"/>
        <v>6, 3</v>
      </c>
      <c r="AK7" s="57" t="str">
        <f t="shared" si="4"/>
        <v/>
      </c>
      <c r="AL7" s="57" t="str">
        <f t="shared" si="4"/>
        <v/>
      </c>
      <c r="AM7" s="57" t="str">
        <f t="shared" si="4"/>
        <v/>
      </c>
      <c r="AN7" s="57" t="str">
        <f t="shared" si="4"/>
        <v/>
      </c>
      <c r="AO7" s="57" t="str">
        <f t="shared" si="5"/>
        <v>7, 3</v>
      </c>
      <c r="AP7" s="57" t="str">
        <f t="shared" si="5"/>
        <v/>
      </c>
      <c r="AQ7" s="57" t="str">
        <f t="shared" si="5"/>
        <v/>
      </c>
      <c r="AR7" s="57" t="str">
        <f t="shared" si="5"/>
        <v/>
      </c>
      <c r="AS7" s="57" t="str">
        <f t="shared" si="5"/>
        <v/>
      </c>
      <c r="AT7" s="57" t="str">
        <f t="shared" si="5"/>
        <v>8, 3</v>
      </c>
      <c r="AU7" s="57" t="str">
        <f t="shared" si="5"/>
        <v/>
      </c>
      <c r="AV7" s="57" t="str">
        <f t="shared" si="5"/>
        <v/>
      </c>
      <c r="AW7" s="57" t="str">
        <f t="shared" si="5"/>
        <v/>
      </c>
      <c r="AX7" s="57" t="str">
        <f t="shared" si="5"/>
        <v/>
      </c>
      <c r="AY7" s="57" t="str">
        <f t="shared" si="6"/>
        <v>9, 3</v>
      </c>
      <c r="AZ7" s="57" t="str">
        <f t="shared" si="6"/>
        <v/>
      </c>
      <c r="BA7" s="57" t="str">
        <f t="shared" si="6"/>
        <v/>
      </c>
      <c r="BB7" s="57" t="str">
        <f t="shared" si="6"/>
        <v/>
      </c>
      <c r="BC7" s="57" t="str">
        <f t="shared" si="6"/>
        <v/>
      </c>
      <c r="BD7" s="57" t="str">
        <f t="shared" si="6"/>
        <v>10, 3</v>
      </c>
      <c r="BE7" s="57" t="str">
        <f t="shared" si="6"/>
        <v/>
      </c>
      <c r="BF7" s="57" t="str">
        <f t="shared" si="6"/>
        <v/>
      </c>
      <c r="BG7" s="57" t="str">
        <f t="shared" si="6"/>
        <v/>
      </c>
      <c r="BH7" s="57" t="str">
        <f t="shared" si="6"/>
        <v/>
      </c>
      <c r="BI7" s="57" t="str">
        <f t="shared" si="7"/>
        <v>11, 3</v>
      </c>
      <c r="BJ7" s="57" t="str">
        <f t="shared" si="7"/>
        <v/>
      </c>
      <c r="BK7" s="57" t="str">
        <f t="shared" si="7"/>
        <v/>
      </c>
      <c r="BL7" s="57" t="str">
        <f t="shared" si="7"/>
        <v/>
      </c>
      <c r="BM7" s="57" t="str">
        <f t="shared" si="7"/>
        <v/>
      </c>
      <c r="BN7" s="57" t="str">
        <f t="shared" si="7"/>
        <v>12, 3</v>
      </c>
      <c r="BO7" s="57" t="str">
        <f t="shared" si="7"/>
        <v/>
      </c>
      <c r="BP7" s="57" t="str">
        <f t="shared" si="7"/>
        <v/>
      </c>
      <c r="BQ7" s="57" t="str">
        <f t="shared" si="7"/>
        <v/>
      </c>
      <c r="BR7" s="57" t="str">
        <f t="shared" si="7"/>
        <v/>
      </c>
      <c r="BS7" s="65" t="str">
        <f t="shared" si="7"/>
        <v>13, 3</v>
      </c>
    </row>
    <row r="8" spans="2:71" x14ac:dyDescent="0.25">
      <c r="B8" s="57"/>
      <c r="C8" s="64" t="str">
        <f t="shared" si="8"/>
        <v/>
      </c>
      <c r="D8" s="57" t="str">
        <f t="shared" si="0"/>
        <v/>
      </c>
      <c r="E8" s="57" t="str">
        <f t="shared" si="0"/>
        <v/>
      </c>
      <c r="F8" s="57" t="str">
        <f t="shared" si="0"/>
        <v/>
      </c>
      <c r="G8" s="57" t="str">
        <f t="shared" si="0"/>
        <v/>
      </c>
      <c r="H8" s="65" t="str">
        <f t="shared" si="0"/>
        <v/>
      </c>
      <c r="I8" s="59" t="str">
        <f t="shared" si="1"/>
        <v/>
      </c>
      <c r="J8" s="57"/>
      <c r="K8" s="64" t="str">
        <f t="shared" si="2"/>
        <v/>
      </c>
      <c r="L8" s="57" t="str">
        <f t="shared" si="2"/>
        <v/>
      </c>
      <c r="M8" s="57" t="str">
        <f t="shared" si="2"/>
        <v/>
      </c>
      <c r="N8" s="57" t="str">
        <f t="shared" si="2"/>
        <v/>
      </c>
      <c r="O8" s="57" t="str">
        <f t="shared" si="2"/>
        <v/>
      </c>
      <c r="P8" s="57" t="str">
        <f t="shared" si="2"/>
        <v/>
      </c>
      <c r="Q8" s="57" t="str">
        <f t="shared" si="2"/>
        <v/>
      </c>
      <c r="R8" s="57" t="str">
        <f t="shared" si="2"/>
        <v/>
      </c>
      <c r="S8" s="57" t="str">
        <f t="shared" si="2"/>
        <v/>
      </c>
      <c r="T8" s="57" t="str">
        <f t="shared" si="2"/>
        <v/>
      </c>
      <c r="U8" s="57" t="str">
        <f t="shared" si="3"/>
        <v/>
      </c>
      <c r="V8" s="57" t="str">
        <f t="shared" si="3"/>
        <v/>
      </c>
      <c r="W8" s="57" t="str">
        <f t="shared" si="3"/>
        <v/>
      </c>
      <c r="X8" s="57" t="str">
        <f t="shared" si="3"/>
        <v/>
      </c>
      <c r="Y8" s="57" t="str">
        <f t="shared" si="3"/>
        <v/>
      </c>
      <c r="Z8" s="57" t="str">
        <f t="shared" si="3"/>
        <v/>
      </c>
      <c r="AA8" s="57" t="str">
        <f t="shared" si="3"/>
        <v/>
      </c>
      <c r="AB8" s="57" t="str">
        <f t="shared" si="3"/>
        <v/>
      </c>
      <c r="AC8" s="57" t="str">
        <f t="shared" si="3"/>
        <v/>
      </c>
      <c r="AD8" s="57" t="str">
        <f t="shared" si="3"/>
        <v/>
      </c>
      <c r="AE8" s="57" t="str">
        <f t="shared" si="4"/>
        <v/>
      </c>
      <c r="AF8" s="57" t="str">
        <f t="shared" si="4"/>
        <v/>
      </c>
      <c r="AG8" s="57" t="str">
        <f t="shared" si="4"/>
        <v/>
      </c>
      <c r="AH8" s="57" t="str">
        <f t="shared" si="4"/>
        <v/>
      </c>
      <c r="AI8" s="57" t="str">
        <f t="shared" si="4"/>
        <v/>
      </c>
      <c r="AJ8" s="57" t="str">
        <f t="shared" si="4"/>
        <v/>
      </c>
      <c r="AK8" s="57" t="str">
        <f t="shared" si="4"/>
        <v/>
      </c>
      <c r="AL8" s="57" t="str">
        <f t="shared" si="4"/>
        <v/>
      </c>
      <c r="AM8" s="57" t="str">
        <f t="shared" si="4"/>
        <v/>
      </c>
      <c r="AN8" s="57" t="str">
        <f t="shared" si="4"/>
        <v/>
      </c>
      <c r="AO8" s="57" t="str">
        <f t="shared" si="5"/>
        <v/>
      </c>
      <c r="AP8" s="57" t="str">
        <f t="shared" si="5"/>
        <v/>
      </c>
      <c r="AQ8" s="57" t="str">
        <f t="shared" si="5"/>
        <v/>
      </c>
      <c r="AR8" s="57" t="str">
        <f t="shared" si="5"/>
        <v/>
      </c>
      <c r="AS8" s="57" t="str">
        <f t="shared" si="5"/>
        <v/>
      </c>
      <c r="AT8" s="57" t="str">
        <f t="shared" si="5"/>
        <v/>
      </c>
      <c r="AU8" s="57" t="str">
        <f t="shared" si="5"/>
        <v/>
      </c>
      <c r="AV8" s="57" t="str">
        <f t="shared" si="5"/>
        <v/>
      </c>
      <c r="AW8" s="57" t="str">
        <f t="shared" si="5"/>
        <v/>
      </c>
      <c r="AX8" s="57" t="str">
        <f t="shared" si="5"/>
        <v/>
      </c>
      <c r="AY8" s="57" t="str">
        <f t="shared" si="6"/>
        <v/>
      </c>
      <c r="AZ8" s="57" t="str">
        <f t="shared" si="6"/>
        <v/>
      </c>
      <c r="BA8" s="57" t="str">
        <f t="shared" si="6"/>
        <v/>
      </c>
      <c r="BB8" s="57" t="str">
        <f t="shared" si="6"/>
        <v/>
      </c>
      <c r="BC8" s="57" t="str">
        <f t="shared" si="6"/>
        <v/>
      </c>
      <c r="BD8" s="57" t="str">
        <f t="shared" si="6"/>
        <v/>
      </c>
      <c r="BE8" s="57" t="str">
        <f t="shared" si="6"/>
        <v/>
      </c>
      <c r="BF8" s="57" t="str">
        <f t="shared" si="6"/>
        <v/>
      </c>
      <c r="BG8" s="57" t="str">
        <f t="shared" si="6"/>
        <v/>
      </c>
      <c r="BH8" s="57" t="str">
        <f t="shared" si="6"/>
        <v/>
      </c>
      <c r="BI8" s="57" t="str">
        <f t="shared" si="7"/>
        <v/>
      </c>
      <c r="BJ8" s="57" t="str">
        <f t="shared" si="7"/>
        <v/>
      </c>
      <c r="BK8" s="57" t="str">
        <f t="shared" si="7"/>
        <v/>
      </c>
      <c r="BL8" s="57" t="str">
        <f t="shared" si="7"/>
        <v/>
      </c>
      <c r="BM8" s="57" t="str">
        <f t="shared" si="7"/>
        <v/>
      </c>
      <c r="BN8" s="57" t="str">
        <f t="shared" si="7"/>
        <v/>
      </c>
      <c r="BO8" s="57" t="str">
        <f t="shared" si="7"/>
        <v/>
      </c>
      <c r="BP8" s="57" t="str">
        <f t="shared" si="7"/>
        <v/>
      </c>
      <c r="BQ8" s="57" t="str">
        <f t="shared" si="7"/>
        <v/>
      </c>
      <c r="BR8" s="57" t="str">
        <f t="shared" si="7"/>
        <v/>
      </c>
      <c r="BS8" s="65" t="str">
        <f t="shared" si="7"/>
        <v/>
      </c>
    </row>
    <row r="9" spans="2:71" x14ac:dyDescent="0.25">
      <c r="B9" s="57" t="s">
        <v>73</v>
      </c>
      <c r="C9" s="64" t="str">
        <f t="shared" si="8"/>
        <v>A, H</v>
      </c>
      <c r="D9" s="57" t="str">
        <f t="shared" si="0"/>
        <v/>
      </c>
      <c r="E9" s="57" t="str">
        <f t="shared" si="0"/>
        <v/>
      </c>
      <c r="F9" s="57" t="str">
        <f t="shared" si="0"/>
        <v/>
      </c>
      <c r="G9" s="57" t="str">
        <f t="shared" si="0"/>
        <v/>
      </c>
      <c r="H9" s="65" t="str">
        <f t="shared" si="0"/>
        <v>K, H</v>
      </c>
      <c r="I9" s="59" t="str">
        <f t="shared" si="1"/>
        <v>WS, 4</v>
      </c>
      <c r="J9" s="57">
        <v>4</v>
      </c>
      <c r="K9" s="64" t="str">
        <f t="shared" si="2"/>
        <v>1, 4</v>
      </c>
      <c r="L9" s="57" t="str">
        <f t="shared" si="2"/>
        <v/>
      </c>
      <c r="M9" s="57" t="str">
        <f t="shared" si="2"/>
        <v/>
      </c>
      <c r="N9" s="57" t="str">
        <f t="shared" si="2"/>
        <v/>
      </c>
      <c r="O9" s="57" t="str">
        <f t="shared" si="2"/>
        <v/>
      </c>
      <c r="P9" s="57" t="str">
        <f t="shared" si="2"/>
        <v>2, 4</v>
      </c>
      <c r="Q9" s="57" t="str">
        <f t="shared" si="2"/>
        <v/>
      </c>
      <c r="R9" s="57" t="str">
        <f t="shared" si="2"/>
        <v/>
      </c>
      <c r="S9" s="57" t="str">
        <f t="shared" si="2"/>
        <v/>
      </c>
      <c r="T9" s="57" t="str">
        <f t="shared" si="2"/>
        <v/>
      </c>
      <c r="U9" s="57" t="str">
        <f t="shared" si="3"/>
        <v>3, 4</v>
      </c>
      <c r="V9" s="57" t="str">
        <f t="shared" si="3"/>
        <v/>
      </c>
      <c r="W9" s="57" t="str">
        <f t="shared" si="3"/>
        <v/>
      </c>
      <c r="X9" s="57" t="str">
        <f t="shared" si="3"/>
        <v/>
      </c>
      <c r="Y9" s="57" t="str">
        <f t="shared" si="3"/>
        <v/>
      </c>
      <c r="Z9" s="57" t="str">
        <f t="shared" si="3"/>
        <v>4, 4</v>
      </c>
      <c r="AA9" s="57" t="str">
        <f t="shared" si="3"/>
        <v/>
      </c>
      <c r="AB9" s="57" t="str">
        <f t="shared" si="3"/>
        <v/>
      </c>
      <c r="AC9" s="57" t="str">
        <f t="shared" si="3"/>
        <v/>
      </c>
      <c r="AD9" s="57" t="str">
        <f t="shared" si="3"/>
        <v/>
      </c>
      <c r="AE9" s="57" t="str">
        <f t="shared" si="4"/>
        <v>5, 4</v>
      </c>
      <c r="AF9" s="57" t="str">
        <f t="shared" si="4"/>
        <v/>
      </c>
      <c r="AG9" s="57" t="str">
        <f t="shared" si="4"/>
        <v/>
      </c>
      <c r="AH9" s="57" t="str">
        <f t="shared" si="4"/>
        <v/>
      </c>
      <c r="AI9" s="57" t="str">
        <f t="shared" si="4"/>
        <v/>
      </c>
      <c r="AJ9" s="57" t="str">
        <f t="shared" si="4"/>
        <v>6, 4</v>
      </c>
      <c r="AK9" s="57" t="str">
        <f t="shared" si="4"/>
        <v/>
      </c>
      <c r="AL9" s="57" t="str">
        <f t="shared" si="4"/>
        <v/>
      </c>
      <c r="AM9" s="57" t="str">
        <f t="shared" si="4"/>
        <v/>
      </c>
      <c r="AN9" s="57" t="str">
        <f t="shared" si="4"/>
        <v/>
      </c>
      <c r="AO9" s="57" t="str">
        <f t="shared" si="5"/>
        <v>7, 4</v>
      </c>
      <c r="AP9" s="57" t="str">
        <f t="shared" si="5"/>
        <v/>
      </c>
      <c r="AQ9" s="57" t="str">
        <f t="shared" si="5"/>
        <v/>
      </c>
      <c r="AR9" s="57" t="str">
        <f t="shared" si="5"/>
        <v/>
      </c>
      <c r="AS9" s="57" t="str">
        <f t="shared" si="5"/>
        <v/>
      </c>
      <c r="AT9" s="57" t="str">
        <f t="shared" si="5"/>
        <v>8, 4</v>
      </c>
      <c r="AU9" s="57" t="str">
        <f t="shared" si="5"/>
        <v/>
      </c>
      <c r="AV9" s="57" t="str">
        <f t="shared" si="5"/>
        <v/>
      </c>
      <c r="AW9" s="57" t="str">
        <f t="shared" si="5"/>
        <v/>
      </c>
      <c r="AX9" s="57" t="str">
        <f t="shared" si="5"/>
        <v/>
      </c>
      <c r="AY9" s="57" t="str">
        <f t="shared" si="6"/>
        <v>9, 4</v>
      </c>
      <c r="AZ9" s="57" t="str">
        <f t="shared" si="6"/>
        <v/>
      </c>
      <c r="BA9" s="57" t="str">
        <f t="shared" si="6"/>
        <v/>
      </c>
      <c r="BB9" s="57" t="str">
        <f t="shared" si="6"/>
        <v/>
      </c>
      <c r="BC9" s="57" t="str">
        <f t="shared" si="6"/>
        <v/>
      </c>
      <c r="BD9" s="57" t="str">
        <f t="shared" si="6"/>
        <v>10, 4</v>
      </c>
      <c r="BE9" s="57" t="str">
        <f t="shared" si="6"/>
        <v/>
      </c>
      <c r="BF9" s="57" t="str">
        <f t="shared" si="6"/>
        <v/>
      </c>
      <c r="BG9" s="57" t="str">
        <f t="shared" si="6"/>
        <v/>
      </c>
      <c r="BH9" s="57" t="str">
        <f t="shared" si="6"/>
        <v/>
      </c>
      <c r="BI9" s="57" t="str">
        <f t="shared" si="7"/>
        <v>11, 4</v>
      </c>
      <c r="BJ9" s="57" t="str">
        <f t="shared" si="7"/>
        <v/>
      </c>
      <c r="BK9" s="57" t="str">
        <f t="shared" si="7"/>
        <v/>
      </c>
      <c r="BL9" s="57" t="str">
        <f t="shared" si="7"/>
        <v/>
      </c>
      <c r="BM9" s="57" t="str">
        <f t="shared" si="7"/>
        <v/>
      </c>
      <c r="BN9" s="57" t="str">
        <f t="shared" si="7"/>
        <v>12, 4</v>
      </c>
      <c r="BO9" s="57" t="str">
        <f t="shared" si="7"/>
        <v/>
      </c>
      <c r="BP9" s="57" t="str">
        <f t="shared" si="7"/>
        <v/>
      </c>
      <c r="BQ9" s="57" t="str">
        <f t="shared" si="7"/>
        <v/>
      </c>
      <c r="BR9" s="57" t="str">
        <f t="shared" si="7"/>
        <v/>
      </c>
      <c r="BS9" s="65" t="str">
        <f t="shared" si="7"/>
        <v>13, 4</v>
      </c>
    </row>
    <row r="10" spans="2:71" x14ac:dyDescent="0.25">
      <c r="B10" s="57"/>
      <c r="C10" s="64" t="str">
        <f t="shared" si="8"/>
        <v/>
      </c>
      <c r="D10" s="57" t="str">
        <f t="shared" si="0"/>
        <v/>
      </c>
      <c r="E10" s="57" t="str">
        <f t="shared" si="0"/>
        <v/>
      </c>
      <c r="F10" s="57" t="str">
        <f t="shared" si="0"/>
        <v/>
      </c>
      <c r="G10" s="57" t="str">
        <f t="shared" si="0"/>
        <v/>
      </c>
      <c r="H10" s="65" t="str">
        <f t="shared" si="0"/>
        <v/>
      </c>
      <c r="I10" s="59" t="str">
        <f t="shared" si="1"/>
        <v/>
      </c>
      <c r="J10" s="57"/>
      <c r="K10" s="64" t="str">
        <f t="shared" si="2"/>
        <v/>
      </c>
      <c r="L10" s="57" t="str">
        <f t="shared" si="2"/>
        <v/>
      </c>
      <c r="M10" s="57" t="str">
        <f t="shared" si="2"/>
        <v/>
      </c>
      <c r="N10" s="57" t="str">
        <f t="shared" si="2"/>
        <v/>
      </c>
      <c r="O10" s="57" t="str">
        <f t="shared" si="2"/>
        <v/>
      </c>
      <c r="P10" s="57" t="str">
        <f t="shared" si="2"/>
        <v/>
      </c>
      <c r="Q10" s="57" t="str">
        <f t="shared" si="2"/>
        <v/>
      </c>
      <c r="R10" s="57" t="str">
        <f t="shared" si="2"/>
        <v/>
      </c>
      <c r="S10" s="57" t="str">
        <f t="shared" si="2"/>
        <v/>
      </c>
      <c r="T10" s="57" t="str">
        <f t="shared" si="2"/>
        <v/>
      </c>
      <c r="U10" s="57" t="str">
        <f t="shared" si="3"/>
        <v/>
      </c>
      <c r="V10" s="57" t="str">
        <f t="shared" si="3"/>
        <v/>
      </c>
      <c r="W10" s="57" t="str">
        <f t="shared" si="3"/>
        <v/>
      </c>
      <c r="X10" s="57" t="str">
        <f t="shared" si="3"/>
        <v/>
      </c>
      <c r="Y10" s="57" t="str">
        <f t="shared" si="3"/>
        <v/>
      </c>
      <c r="Z10" s="57" t="str">
        <f t="shared" si="3"/>
        <v/>
      </c>
      <c r="AA10" s="57" t="str">
        <f t="shared" si="3"/>
        <v/>
      </c>
      <c r="AB10" s="57" t="str">
        <f t="shared" si="3"/>
        <v/>
      </c>
      <c r="AC10" s="57" t="str">
        <f t="shared" si="3"/>
        <v/>
      </c>
      <c r="AD10" s="57" t="str">
        <f t="shared" si="3"/>
        <v/>
      </c>
      <c r="AE10" s="57" t="str">
        <f t="shared" si="4"/>
        <v/>
      </c>
      <c r="AF10" s="57" t="str">
        <f t="shared" si="4"/>
        <v/>
      </c>
      <c r="AG10" s="57" t="str">
        <f t="shared" si="4"/>
        <v/>
      </c>
      <c r="AH10" s="57" t="str">
        <f t="shared" si="4"/>
        <v/>
      </c>
      <c r="AI10" s="57" t="str">
        <f t="shared" si="4"/>
        <v/>
      </c>
      <c r="AJ10" s="57" t="str">
        <f t="shared" si="4"/>
        <v/>
      </c>
      <c r="AK10" s="57" t="str">
        <f t="shared" si="4"/>
        <v/>
      </c>
      <c r="AL10" s="57" t="str">
        <f t="shared" si="4"/>
        <v/>
      </c>
      <c r="AM10" s="57" t="str">
        <f t="shared" si="4"/>
        <v/>
      </c>
      <c r="AN10" s="57" t="str">
        <f t="shared" si="4"/>
        <v/>
      </c>
      <c r="AO10" s="57" t="str">
        <f t="shared" si="5"/>
        <v/>
      </c>
      <c r="AP10" s="57" t="str">
        <f t="shared" si="5"/>
        <v/>
      </c>
      <c r="AQ10" s="57" t="str">
        <f t="shared" si="5"/>
        <v/>
      </c>
      <c r="AR10" s="57" t="str">
        <f t="shared" si="5"/>
        <v/>
      </c>
      <c r="AS10" s="57" t="str">
        <f t="shared" si="5"/>
        <v/>
      </c>
      <c r="AT10" s="57" t="str">
        <f t="shared" si="5"/>
        <v/>
      </c>
      <c r="AU10" s="57" t="str">
        <f t="shared" si="5"/>
        <v/>
      </c>
      <c r="AV10" s="57" t="str">
        <f t="shared" si="5"/>
        <v/>
      </c>
      <c r="AW10" s="57" t="str">
        <f t="shared" si="5"/>
        <v/>
      </c>
      <c r="AX10" s="57" t="str">
        <f t="shared" si="5"/>
        <v/>
      </c>
      <c r="AY10" s="57" t="str">
        <f t="shared" si="6"/>
        <v/>
      </c>
      <c r="AZ10" s="57" t="str">
        <f t="shared" si="6"/>
        <v/>
      </c>
      <c r="BA10" s="57" t="str">
        <f t="shared" si="6"/>
        <v/>
      </c>
      <c r="BB10" s="57" t="str">
        <f t="shared" si="6"/>
        <v/>
      </c>
      <c r="BC10" s="57" t="str">
        <f t="shared" si="6"/>
        <v/>
      </c>
      <c r="BD10" s="57" t="str">
        <f t="shared" si="6"/>
        <v/>
      </c>
      <c r="BE10" s="57" t="str">
        <f t="shared" si="6"/>
        <v/>
      </c>
      <c r="BF10" s="57" t="str">
        <f t="shared" si="6"/>
        <v/>
      </c>
      <c r="BG10" s="57" t="str">
        <f t="shared" si="6"/>
        <v/>
      </c>
      <c r="BH10" s="57" t="str">
        <f t="shared" si="6"/>
        <v/>
      </c>
      <c r="BI10" s="57" t="str">
        <f t="shared" si="7"/>
        <v/>
      </c>
      <c r="BJ10" s="57" t="str">
        <f t="shared" si="7"/>
        <v/>
      </c>
      <c r="BK10" s="57" t="str">
        <f t="shared" si="7"/>
        <v/>
      </c>
      <c r="BL10" s="57" t="str">
        <f t="shared" si="7"/>
        <v/>
      </c>
      <c r="BM10" s="57" t="str">
        <f t="shared" si="7"/>
        <v/>
      </c>
      <c r="BN10" s="57" t="str">
        <f t="shared" si="7"/>
        <v/>
      </c>
      <c r="BO10" s="57" t="str">
        <f t="shared" si="7"/>
        <v/>
      </c>
      <c r="BP10" s="57" t="str">
        <f t="shared" si="7"/>
        <v/>
      </c>
      <c r="BQ10" s="57" t="str">
        <f t="shared" si="7"/>
        <v/>
      </c>
      <c r="BR10" s="57" t="str">
        <f t="shared" si="7"/>
        <v/>
      </c>
      <c r="BS10" s="65" t="str">
        <f t="shared" si="7"/>
        <v/>
      </c>
    </row>
    <row r="11" spans="2:71" x14ac:dyDescent="0.25">
      <c r="B11" s="57"/>
      <c r="C11" s="64" t="str">
        <f t="shared" si="8"/>
        <v/>
      </c>
      <c r="D11" s="57" t="str">
        <f t="shared" si="0"/>
        <v/>
      </c>
      <c r="E11" s="57" t="str">
        <f t="shared" si="0"/>
        <v/>
      </c>
      <c r="F11" s="57" t="str">
        <f t="shared" si="0"/>
        <v/>
      </c>
      <c r="G11" s="57" t="str">
        <f t="shared" si="0"/>
        <v/>
      </c>
      <c r="H11" s="65" t="str">
        <f t="shared" si="0"/>
        <v/>
      </c>
      <c r="I11" s="59" t="str">
        <f t="shared" si="1"/>
        <v>WS, 5</v>
      </c>
      <c r="J11" s="57">
        <v>5</v>
      </c>
      <c r="K11" s="64" t="str">
        <f t="shared" si="2"/>
        <v>1, 5</v>
      </c>
      <c r="L11" s="57" t="str">
        <f t="shared" si="2"/>
        <v/>
      </c>
      <c r="M11" s="57" t="str">
        <f t="shared" si="2"/>
        <v/>
      </c>
      <c r="N11" s="57" t="str">
        <f t="shared" si="2"/>
        <v/>
      </c>
      <c r="O11" s="57" t="str">
        <f t="shared" si="2"/>
        <v/>
      </c>
      <c r="P11" s="57" t="str">
        <f t="shared" si="2"/>
        <v>2, 5</v>
      </c>
      <c r="Q11" s="57" t="str">
        <f t="shared" si="2"/>
        <v/>
      </c>
      <c r="R11" s="57" t="str">
        <f t="shared" si="2"/>
        <v/>
      </c>
      <c r="S11" s="57" t="str">
        <f t="shared" si="2"/>
        <v/>
      </c>
      <c r="T11" s="57" t="str">
        <f t="shared" si="2"/>
        <v/>
      </c>
      <c r="U11" s="57" t="str">
        <f t="shared" si="3"/>
        <v>3, 5</v>
      </c>
      <c r="V11" s="57" t="str">
        <f t="shared" si="3"/>
        <v/>
      </c>
      <c r="W11" s="57" t="str">
        <f t="shared" si="3"/>
        <v/>
      </c>
      <c r="X11" s="57" t="str">
        <f t="shared" si="3"/>
        <v/>
      </c>
      <c r="Y11" s="57" t="str">
        <f t="shared" si="3"/>
        <v/>
      </c>
      <c r="Z11" s="57" t="str">
        <f t="shared" si="3"/>
        <v>4, 5</v>
      </c>
      <c r="AA11" s="57" t="str">
        <f t="shared" si="3"/>
        <v/>
      </c>
      <c r="AB11" s="57" t="str">
        <f t="shared" si="3"/>
        <v/>
      </c>
      <c r="AC11" s="57" t="str">
        <f t="shared" si="3"/>
        <v/>
      </c>
      <c r="AD11" s="57" t="str">
        <f t="shared" si="3"/>
        <v/>
      </c>
      <c r="AE11" s="57" t="str">
        <f t="shared" si="4"/>
        <v>5, 5</v>
      </c>
      <c r="AF11" s="57" t="str">
        <f t="shared" si="4"/>
        <v/>
      </c>
      <c r="AG11" s="57" t="str">
        <f t="shared" si="4"/>
        <v/>
      </c>
      <c r="AH11" s="57" t="str">
        <f t="shared" si="4"/>
        <v/>
      </c>
      <c r="AI11" s="57" t="str">
        <f t="shared" si="4"/>
        <v/>
      </c>
      <c r="AJ11" s="57" t="str">
        <f t="shared" si="4"/>
        <v>6, 5</v>
      </c>
      <c r="AK11" s="57" t="str">
        <f t="shared" si="4"/>
        <v/>
      </c>
      <c r="AL11" s="57" t="str">
        <f t="shared" si="4"/>
        <v/>
      </c>
      <c r="AM11" s="57" t="str">
        <f t="shared" si="4"/>
        <v/>
      </c>
      <c r="AN11" s="57" t="str">
        <f t="shared" si="4"/>
        <v/>
      </c>
      <c r="AO11" s="57" t="str">
        <f t="shared" si="5"/>
        <v>7, 5</v>
      </c>
      <c r="AP11" s="57" t="str">
        <f t="shared" si="5"/>
        <v/>
      </c>
      <c r="AQ11" s="57" t="str">
        <f t="shared" si="5"/>
        <v/>
      </c>
      <c r="AR11" s="57" t="str">
        <f t="shared" si="5"/>
        <v/>
      </c>
      <c r="AS11" s="57" t="str">
        <f t="shared" si="5"/>
        <v/>
      </c>
      <c r="AT11" s="57" t="str">
        <f t="shared" si="5"/>
        <v>8, 5</v>
      </c>
      <c r="AU11" s="57" t="str">
        <f t="shared" si="5"/>
        <v/>
      </c>
      <c r="AV11" s="57" t="str">
        <f t="shared" si="5"/>
        <v/>
      </c>
      <c r="AW11" s="57" t="str">
        <f t="shared" si="5"/>
        <v/>
      </c>
      <c r="AX11" s="57" t="str">
        <f t="shared" si="5"/>
        <v/>
      </c>
      <c r="AY11" s="57" t="str">
        <f t="shared" si="6"/>
        <v>9, 5</v>
      </c>
      <c r="AZ11" s="57" t="str">
        <f t="shared" si="6"/>
        <v/>
      </c>
      <c r="BA11" s="57" t="str">
        <f t="shared" si="6"/>
        <v/>
      </c>
      <c r="BB11" s="57" t="str">
        <f t="shared" si="6"/>
        <v/>
      </c>
      <c r="BC11" s="57" t="str">
        <f t="shared" si="6"/>
        <v/>
      </c>
      <c r="BD11" s="57" t="str">
        <f t="shared" si="6"/>
        <v>10, 5</v>
      </c>
      <c r="BE11" s="57" t="str">
        <f t="shared" si="6"/>
        <v/>
      </c>
      <c r="BF11" s="57" t="str">
        <f t="shared" si="6"/>
        <v/>
      </c>
      <c r="BG11" s="57" t="str">
        <f t="shared" si="6"/>
        <v/>
      </c>
      <c r="BH11" s="57" t="str">
        <f t="shared" si="6"/>
        <v/>
      </c>
      <c r="BI11" s="57" t="str">
        <f t="shared" si="7"/>
        <v>11, 5</v>
      </c>
      <c r="BJ11" s="57" t="str">
        <f t="shared" si="7"/>
        <v/>
      </c>
      <c r="BK11" s="57" t="str">
        <f t="shared" si="7"/>
        <v/>
      </c>
      <c r="BL11" s="57" t="str">
        <f t="shared" si="7"/>
        <v/>
      </c>
      <c r="BM11" s="57" t="str">
        <f t="shared" si="7"/>
        <v/>
      </c>
      <c r="BN11" s="57" t="str">
        <f t="shared" si="7"/>
        <v>12, 5</v>
      </c>
      <c r="BO11" s="57" t="str">
        <f t="shared" si="7"/>
        <v/>
      </c>
      <c r="BP11" s="57" t="str">
        <f t="shared" si="7"/>
        <v/>
      </c>
      <c r="BQ11" s="57" t="str">
        <f t="shared" si="7"/>
        <v/>
      </c>
      <c r="BR11" s="57" t="str">
        <f t="shared" si="7"/>
        <v/>
      </c>
      <c r="BS11" s="65" t="str">
        <f t="shared" si="7"/>
        <v>13, 5</v>
      </c>
    </row>
    <row r="12" spans="2:71" x14ac:dyDescent="0.25">
      <c r="B12" s="57"/>
      <c r="C12" s="64" t="str">
        <f t="shared" si="8"/>
        <v/>
      </c>
      <c r="D12" s="57" t="str">
        <f t="shared" si="0"/>
        <v/>
      </c>
      <c r="E12" s="57" t="str">
        <f t="shared" si="0"/>
        <v/>
      </c>
      <c r="F12" s="57" t="str">
        <f t="shared" si="0"/>
        <v/>
      </c>
      <c r="G12" s="57" t="str">
        <f t="shared" si="0"/>
        <v/>
      </c>
      <c r="H12" s="65" t="str">
        <f t="shared" si="0"/>
        <v/>
      </c>
      <c r="I12" s="59" t="str">
        <f t="shared" si="1"/>
        <v/>
      </c>
      <c r="J12" s="57"/>
      <c r="K12" s="64" t="str">
        <f t="shared" si="2"/>
        <v/>
      </c>
      <c r="L12" s="57" t="str">
        <f t="shared" si="2"/>
        <v/>
      </c>
      <c r="M12" s="57" t="str">
        <f t="shared" si="2"/>
        <v/>
      </c>
      <c r="N12" s="57" t="str">
        <f t="shared" si="2"/>
        <v/>
      </c>
      <c r="O12" s="57" t="str">
        <f t="shared" si="2"/>
        <v/>
      </c>
      <c r="P12" s="57" t="str">
        <f t="shared" si="2"/>
        <v/>
      </c>
      <c r="Q12" s="57" t="str">
        <f t="shared" si="2"/>
        <v/>
      </c>
      <c r="R12" s="57" t="str">
        <f t="shared" si="2"/>
        <v/>
      </c>
      <c r="S12" s="57" t="str">
        <f t="shared" si="2"/>
        <v/>
      </c>
      <c r="T12" s="57" t="str">
        <f t="shared" si="2"/>
        <v/>
      </c>
      <c r="U12" s="57" t="str">
        <f t="shared" si="3"/>
        <v/>
      </c>
      <c r="V12" s="57" t="str">
        <f t="shared" si="3"/>
        <v/>
      </c>
      <c r="W12" s="57" t="str">
        <f t="shared" si="3"/>
        <v/>
      </c>
      <c r="X12" s="57" t="str">
        <f t="shared" si="3"/>
        <v/>
      </c>
      <c r="Y12" s="57" t="str">
        <f t="shared" si="3"/>
        <v/>
      </c>
      <c r="Z12" s="57" t="str">
        <f t="shared" si="3"/>
        <v/>
      </c>
      <c r="AA12" s="57" t="str">
        <f t="shared" si="3"/>
        <v/>
      </c>
      <c r="AB12" s="57" t="str">
        <f t="shared" si="3"/>
        <v/>
      </c>
      <c r="AC12" s="57" t="str">
        <f t="shared" si="3"/>
        <v/>
      </c>
      <c r="AD12" s="57" t="str">
        <f t="shared" si="3"/>
        <v/>
      </c>
      <c r="AE12" s="57" t="str">
        <f t="shared" si="4"/>
        <v/>
      </c>
      <c r="AF12" s="57" t="str">
        <f t="shared" si="4"/>
        <v/>
      </c>
      <c r="AG12" s="57" t="str">
        <f t="shared" si="4"/>
        <v/>
      </c>
      <c r="AH12" s="57" t="str">
        <f t="shared" si="4"/>
        <v/>
      </c>
      <c r="AI12" s="57" t="str">
        <f t="shared" si="4"/>
        <v/>
      </c>
      <c r="AJ12" s="57" t="str">
        <f t="shared" si="4"/>
        <v/>
      </c>
      <c r="AK12" s="57" t="str">
        <f t="shared" si="4"/>
        <v/>
      </c>
      <c r="AL12" s="57" t="str">
        <f t="shared" si="4"/>
        <v/>
      </c>
      <c r="AM12" s="57" t="str">
        <f t="shared" si="4"/>
        <v/>
      </c>
      <c r="AN12" s="57" t="str">
        <f t="shared" si="4"/>
        <v/>
      </c>
      <c r="AO12" s="57" t="str">
        <f t="shared" si="5"/>
        <v/>
      </c>
      <c r="AP12" s="57" t="str">
        <f t="shared" si="5"/>
        <v/>
      </c>
      <c r="AQ12" s="57" t="str">
        <f t="shared" si="5"/>
        <v/>
      </c>
      <c r="AR12" s="57" t="str">
        <f t="shared" si="5"/>
        <v/>
      </c>
      <c r="AS12" s="57" t="str">
        <f t="shared" si="5"/>
        <v/>
      </c>
      <c r="AT12" s="57" t="str">
        <f t="shared" si="5"/>
        <v/>
      </c>
      <c r="AU12" s="57" t="str">
        <f t="shared" si="5"/>
        <v/>
      </c>
      <c r="AV12" s="57" t="str">
        <f t="shared" si="5"/>
        <v/>
      </c>
      <c r="AW12" s="57" t="str">
        <f t="shared" si="5"/>
        <v/>
      </c>
      <c r="AX12" s="57" t="str">
        <f t="shared" si="5"/>
        <v/>
      </c>
      <c r="AY12" s="57" t="str">
        <f t="shared" si="6"/>
        <v/>
      </c>
      <c r="AZ12" s="57" t="str">
        <f t="shared" si="6"/>
        <v/>
      </c>
      <c r="BA12" s="57" t="str">
        <f t="shared" si="6"/>
        <v/>
      </c>
      <c r="BB12" s="57" t="str">
        <f t="shared" si="6"/>
        <v/>
      </c>
      <c r="BC12" s="57" t="str">
        <f t="shared" si="6"/>
        <v/>
      </c>
      <c r="BD12" s="57" t="str">
        <f t="shared" si="6"/>
        <v/>
      </c>
      <c r="BE12" s="57" t="str">
        <f t="shared" si="6"/>
        <v/>
      </c>
      <c r="BF12" s="57" t="str">
        <f t="shared" si="6"/>
        <v/>
      </c>
      <c r="BG12" s="57" t="str">
        <f t="shared" si="6"/>
        <v/>
      </c>
      <c r="BH12" s="57" t="str">
        <f t="shared" si="6"/>
        <v/>
      </c>
      <c r="BI12" s="57" t="str">
        <f t="shared" si="7"/>
        <v/>
      </c>
      <c r="BJ12" s="57" t="str">
        <f t="shared" si="7"/>
        <v/>
      </c>
      <c r="BK12" s="57" t="str">
        <f t="shared" si="7"/>
        <v/>
      </c>
      <c r="BL12" s="57" t="str">
        <f t="shared" si="7"/>
        <v/>
      </c>
      <c r="BM12" s="57" t="str">
        <f t="shared" si="7"/>
        <v/>
      </c>
      <c r="BN12" s="57" t="str">
        <f t="shared" si="7"/>
        <v/>
      </c>
      <c r="BO12" s="57" t="str">
        <f t="shared" si="7"/>
        <v/>
      </c>
      <c r="BP12" s="57" t="str">
        <f t="shared" si="7"/>
        <v/>
      </c>
      <c r="BQ12" s="57" t="str">
        <f t="shared" si="7"/>
        <v/>
      </c>
      <c r="BR12" s="57" t="str">
        <f t="shared" si="7"/>
        <v/>
      </c>
      <c r="BS12" s="65" t="str">
        <f t="shared" si="7"/>
        <v/>
      </c>
    </row>
    <row r="13" spans="2:71" x14ac:dyDescent="0.25">
      <c r="B13" s="57"/>
      <c r="C13" s="64" t="str">
        <f t="shared" si="8"/>
        <v/>
      </c>
      <c r="D13" s="57" t="str">
        <f t="shared" si="0"/>
        <v/>
      </c>
      <c r="E13" s="57" t="str">
        <f t="shared" si="0"/>
        <v/>
      </c>
      <c r="F13" s="57" t="str">
        <f t="shared" si="0"/>
        <v/>
      </c>
      <c r="G13" s="57" t="str">
        <f t="shared" si="0"/>
        <v/>
      </c>
      <c r="H13" s="65" t="str">
        <f t="shared" si="0"/>
        <v/>
      </c>
      <c r="I13" s="59" t="str">
        <f t="shared" si="1"/>
        <v>WS, 6</v>
      </c>
      <c r="J13" s="57">
        <v>6</v>
      </c>
      <c r="K13" s="64" t="str">
        <f t="shared" ref="K13:T22" si="9">IF(OR(ISBLANK(K$2),ISBLANK($J13)),"",_xlfn.CONCAT(K$2,", ",$J13))</f>
        <v>1, 6</v>
      </c>
      <c r="L13" s="57" t="str">
        <f t="shared" si="9"/>
        <v/>
      </c>
      <c r="M13" s="57" t="str">
        <f t="shared" si="9"/>
        <v/>
      </c>
      <c r="N13" s="57" t="str">
        <f t="shared" si="9"/>
        <v/>
      </c>
      <c r="O13" s="57" t="str">
        <f t="shared" si="9"/>
        <v/>
      </c>
      <c r="P13" s="57" t="str">
        <f t="shared" si="9"/>
        <v>2, 6</v>
      </c>
      <c r="Q13" s="57" t="str">
        <f t="shared" si="9"/>
        <v/>
      </c>
      <c r="R13" s="57" t="str">
        <f t="shared" si="9"/>
        <v/>
      </c>
      <c r="S13" s="57" t="str">
        <f t="shared" si="9"/>
        <v/>
      </c>
      <c r="T13" s="57" t="str">
        <f t="shared" si="9"/>
        <v/>
      </c>
      <c r="U13" s="57" t="str">
        <f t="shared" ref="U13:AD22" si="10">IF(OR(ISBLANK(U$2),ISBLANK($J13)),"",_xlfn.CONCAT(U$2,", ",$J13))</f>
        <v>3, 6</v>
      </c>
      <c r="V13" s="57" t="str">
        <f t="shared" si="10"/>
        <v/>
      </c>
      <c r="W13" s="57" t="str">
        <f t="shared" si="10"/>
        <v/>
      </c>
      <c r="X13" s="57" t="str">
        <f t="shared" si="10"/>
        <v/>
      </c>
      <c r="Y13" s="57" t="str">
        <f t="shared" si="10"/>
        <v/>
      </c>
      <c r="Z13" s="57" t="str">
        <f t="shared" si="10"/>
        <v>4, 6</v>
      </c>
      <c r="AA13" s="57" t="str">
        <f t="shared" si="10"/>
        <v/>
      </c>
      <c r="AB13" s="57" t="str">
        <f t="shared" si="10"/>
        <v/>
      </c>
      <c r="AC13" s="57" t="str">
        <f t="shared" si="10"/>
        <v/>
      </c>
      <c r="AD13" s="57" t="str">
        <f t="shared" si="10"/>
        <v/>
      </c>
      <c r="AE13" s="57" t="str">
        <f t="shared" ref="AE13:AN22" si="11">IF(OR(ISBLANK(AE$2),ISBLANK($J13)),"",_xlfn.CONCAT(AE$2,", ",$J13))</f>
        <v>5, 6</v>
      </c>
      <c r="AF13" s="57" t="str">
        <f t="shared" si="11"/>
        <v/>
      </c>
      <c r="AG13" s="57" t="str">
        <f t="shared" si="11"/>
        <v/>
      </c>
      <c r="AH13" s="57" t="str">
        <f t="shared" si="11"/>
        <v/>
      </c>
      <c r="AI13" s="57" t="str">
        <f t="shared" si="11"/>
        <v/>
      </c>
      <c r="AJ13" s="57" t="str">
        <f t="shared" si="11"/>
        <v>6, 6</v>
      </c>
      <c r="AK13" s="57" t="str">
        <f t="shared" si="11"/>
        <v/>
      </c>
      <c r="AL13" s="57" t="str">
        <f t="shared" si="11"/>
        <v/>
      </c>
      <c r="AM13" s="57" t="str">
        <f t="shared" si="11"/>
        <v/>
      </c>
      <c r="AN13" s="57" t="str">
        <f t="shared" si="11"/>
        <v/>
      </c>
      <c r="AO13" s="57" t="str">
        <f t="shared" ref="AO13:AX22" si="12">IF(OR(ISBLANK(AO$2),ISBLANK($J13)),"",_xlfn.CONCAT(AO$2,", ",$J13))</f>
        <v>7, 6</v>
      </c>
      <c r="AP13" s="57" t="str">
        <f t="shared" si="12"/>
        <v/>
      </c>
      <c r="AQ13" s="57" t="str">
        <f t="shared" si="12"/>
        <v/>
      </c>
      <c r="AR13" s="57" t="str">
        <f t="shared" si="12"/>
        <v/>
      </c>
      <c r="AS13" s="57" t="str">
        <f t="shared" si="12"/>
        <v/>
      </c>
      <c r="AT13" s="57" t="str">
        <f t="shared" si="12"/>
        <v>8, 6</v>
      </c>
      <c r="AU13" s="57" t="str">
        <f t="shared" si="12"/>
        <v/>
      </c>
      <c r="AV13" s="57" t="str">
        <f t="shared" si="12"/>
        <v/>
      </c>
      <c r="AW13" s="57" t="str">
        <f t="shared" si="12"/>
        <v/>
      </c>
      <c r="AX13" s="57" t="str">
        <f t="shared" si="12"/>
        <v/>
      </c>
      <c r="AY13" s="57" t="str">
        <f t="shared" ref="AY13:BH22" si="13">IF(OR(ISBLANK(AY$2),ISBLANK($J13)),"",_xlfn.CONCAT(AY$2,", ",$J13))</f>
        <v>9, 6</v>
      </c>
      <c r="AZ13" s="57" t="str">
        <f t="shared" si="13"/>
        <v/>
      </c>
      <c r="BA13" s="57" t="str">
        <f t="shared" si="13"/>
        <v/>
      </c>
      <c r="BB13" s="57" t="str">
        <f t="shared" si="13"/>
        <v/>
      </c>
      <c r="BC13" s="57" t="str">
        <f t="shared" si="13"/>
        <v/>
      </c>
      <c r="BD13" s="57" t="str">
        <f t="shared" si="13"/>
        <v>10, 6</v>
      </c>
      <c r="BE13" s="57" t="str">
        <f t="shared" si="13"/>
        <v/>
      </c>
      <c r="BF13" s="57" t="str">
        <f t="shared" si="13"/>
        <v/>
      </c>
      <c r="BG13" s="57" t="str">
        <f t="shared" si="13"/>
        <v/>
      </c>
      <c r="BH13" s="57" t="str">
        <f t="shared" si="13"/>
        <v/>
      </c>
      <c r="BI13" s="57" t="str">
        <f t="shared" ref="BI13:BS22" si="14">IF(OR(ISBLANK(BI$2),ISBLANK($J13)),"",_xlfn.CONCAT(BI$2,", ",$J13))</f>
        <v>11, 6</v>
      </c>
      <c r="BJ13" s="57" t="str">
        <f t="shared" si="14"/>
        <v/>
      </c>
      <c r="BK13" s="57" t="str">
        <f t="shared" si="14"/>
        <v/>
      </c>
      <c r="BL13" s="57" t="str">
        <f t="shared" si="14"/>
        <v/>
      </c>
      <c r="BM13" s="57" t="str">
        <f t="shared" si="14"/>
        <v/>
      </c>
      <c r="BN13" s="57" t="str">
        <f t="shared" si="14"/>
        <v>12, 6</v>
      </c>
      <c r="BO13" s="57" t="str">
        <f t="shared" si="14"/>
        <v/>
      </c>
      <c r="BP13" s="57" t="str">
        <f t="shared" si="14"/>
        <v/>
      </c>
      <c r="BQ13" s="57" t="str">
        <f t="shared" si="14"/>
        <v/>
      </c>
      <c r="BR13" s="57" t="str">
        <f t="shared" si="14"/>
        <v/>
      </c>
      <c r="BS13" s="65" t="str">
        <f t="shared" si="14"/>
        <v>13, 6</v>
      </c>
    </row>
    <row r="14" spans="2:71" x14ac:dyDescent="0.25">
      <c r="B14" s="57"/>
      <c r="C14" s="64" t="str">
        <f t="shared" si="8"/>
        <v/>
      </c>
      <c r="D14" s="57" t="str">
        <f t="shared" si="0"/>
        <v/>
      </c>
      <c r="E14" s="57" t="str">
        <f t="shared" si="0"/>
        <v/>
      </c>
      <c r="F14" s="57" t="str">
        <f t="shared" si="0"/>
        <v/>
      </c>
      <c r="G14" s="57" t="str">
        <f t="shared" si="0"/>
        <v/>
      </c>
      <c r="H14" s="65" t="str">
        <f t="shared" si="0"/>
        <v/>
      </c>
      <c r="I14" s="59" t="str">
        <f t="shared" si="1"/>
        <v/>
      </c>
      <c r="J14" s="57"/>
      <c r="K14" s="64" t="str">
        <f t="shared" si="9"/>
        <v/>
      </c>
      <c r="L14" s="57" t="str">
        <f t="shared" si="9"/>
        <v/>
      </c>
      <c r="M14" s="57" t="str">
        <f t="shared" si="9"/>
        <v/>
      </c>
      <c r="N14" s="57" t="str">
        <f t="shared" si="9"/>
        <v/>
      </c>
      <c r="O14" s="57" t="str">
        <f t="shared" si="9"/>
        <v/>
      </c>
      <c r="P14" s="57" t="str">
        <f t="shared" si="9"/>
        <v/>
      </c>
      <c r="Q14" s="57" t="str">
        <f t="shared" si="9"/>
        <v/>
      </c>
      <c r="R14" s="57" t="str">
        <f t="shared" si="9"/>
        <v/>
      </c>
      <c r="S14" s="57" t="str">
        <f t="shared" si="9"/>
        <v/>
      </c>
      <c r="T14" s="57" t="str">
        <f t="shared" si="9"/>
        <v/>
      </c>
      <c r="U14" s="57" t="str">
        <f t="shared" si="10"/>
        <v/>
      </c>
      <c r="V14" s="57" t="str">
        <f t="shared" si="10"/>
        <v/>
      </c>
      <c r="W14" s="57" t="str">
        <f t="shared" si="10"/>
        <v/>
      </c>
      <c r="X14" s="57" t="str">
        <f t="shared" si="10"/>
        <v/>
      </c>
      <c r="Y14" s="57" t="str">
        <f t="shared" si="10"/>
        <v/>
      </c>
      <c r="Z14" s="57" t="str">
        <f t="shared" si="10"/>
        <v/>
      </c>
      <c r="AA14" s="57" t="str">
        <f t="shared" si="10"/>
        <v/>
      </c>
      <c r="AB14" s="57" t="str">
        <f t="shared" si="10"/>
        <v/>
      </c>
      <c r="AC14" s="57" t="str">
        <f t="shared" si="10"/>
        <v/>
      </c>
      <c r="AD14" s="57" t="str">
        <f t="shared" si="10"/>
        <v/>
      </c>
      <c r="AE14" s="57" t="str">
        <f t="shared" si="11"/>
        <v/>
      </c>
      <c r="AF14" s="57" t="str">
        <f t="shared" si="11"/>
        <v/>
      </c>
      <c r="AG14" s="57" t="str">
        <f t="shared" si="11"/>
        <v/>
      </c>
      <c r="AH14" s="57" t="str">
        <f t="shared" si="11"/>
        <v/>
      </c>
      <c r="AI14" s="57" t="str">
        <f t="shared" si="11"/>
        <v/>
      </c>
      <c r="AJ14" s="57" t="str">
        <f t="shared" si="11"/>
        <v/>
      </c>
      <c r="AK14" s="57" t="str">
        <f t="shared" si="11"/>
        <v/>
      </c>
      <c r="AL14" s="57" t="str">
        <f t="shared" si="11"/>
        <v/>
      </c>
      <c r="AM14" s="57" t="str">
        <f t="shared" si="11"/>
        <v/>
      </c>
      <c r="AN14" s="57" t="str">
        <f t="shared" si="11"/>
        <v/>
      </c>
      <c r="AO14" s="57" t="str">
        <f t="shared" si="12"/>
        <v/>
      </c>
      <c r="AP14" s="57" t="str">
        <f t="shared" si="12"/>
        <v/>
      </c>
      <c r="AQ14" s="57" t="str">
        <f t="shared" si="12"/>
        <v/>
      </c>
      <c r="AR14" s="57" t="str">
        <f t="shared" si="12"/>
        <v/>
      </c>
      <c r="AS14" s="57" t="str">
        <f t="shared" si="12"/>
        <v/>
      </c>
      <c r="AT14" s="57" t="str">
        <f t="shared" si="12"/>
        <v/>
      </c>
      <c r="AU14" s="57" t="str">
        <f t="shared" si="12"/>
        <v/>
      </c>
      <c r="AV14" s="57" t="str">
        <f t="shared" si="12"/>
        <v/>
      </c>
      <c r="AW14" s="57" t="str">
        <f t="shared" si="12"/>
        <v/>
      </c>
      <c r="AX14" s="57" t="str">
        <f t="shared" si="12"/>
        <v/>
      </c>
      <c r="AY14" s="57" t="str">
        <f t="shared" si="13"/>
        <v/>
      </c>
      <c r="AZ14" s="57" t="str">
        <f t="shared" si="13"/>
        <v/>
      </c>
      <c r="BA14" s="57" t="str">
        <f t="shared" si="13"/>
        <v/>
      </c>
      <c r="BB14" s="57" t="str">
        <f t="shared" si="13"/>
        <v/>
      </c>
      <c r="BC14" s="57" t="str">
        <f t="shared" si="13"/>
        <v/>
      </c>
      <c r="BD14" s="57" t="str">
        <f t="shared" si="13"/>
        <v/>
      </c>
      <c r="BE14" s="57" t="str">
        <f t="shared" si="13"/>
        <v/>
      </c>
      <c r="BF14" s="57" t="str">
        <f t="shared" si="13"/>
        <v/>
      </c>
      <c r="BG14" s="57" t="str">
        <f t="shared" si="13"/>
        <v/>
      </c>
      <c r="BH14" s="57" t="str">
        <f t="shared" si="13"/>
        <v/>
      </c>
      <c r="BI14" s="57" t="str">
        <f t="shared" si="14"/>
        <v/>
      </c>
      <c r="BJ14" s="57" t="str">
        <f t="shared" si="14"/>
        <v/>
      </c>
      <c r="BK14" s="57" t="str">
        <f t="shared" si="14"/>
        <v/>
      </c>
      <c r="BL14" s="57" t="str">
        <f t="shared" si="14"/>
        <v/>
      </c>
      <c r="BM14" s="57" t="str">
        <f t="shared" si="14"/>
        <v/>
      </c>
      <c r="BN14" s="57" t="str">
        <f t="shared" si="14"/>
        <v/>
      </c>
      <c r="BO14" s="57" t="str">
        <f t="shared" si="14"/>
        <v/>
      </c>
      <c r="BP14" s="57" t="str">
        <f t="shared" si="14"/>
        <v/>
      </c>
      <c r="BQ14" s="57" t="str">
        <f t="shared" si="14"/>
        <v/>
      </c>
      <c r="BR14" s="57" t="str">
        <f t="shared" si="14"/>
        <v/>
      </c>
      <c r="BS14" s="65" t="str">
        <f t="shared" si="14"/>
        <v/>
      </c>
    </row>
    <row r="15" spans="2:71" x14ac:dyDescent="0.25">
      <c r="B15" s="57" t="s">
        <v>74</v>
      </c>
      <c r="C15" s="64" t="str">
        <f t="shared" si="8"/>
        <v>A, C</v>
      </c>
      <c r="D15" s="57" t="str">
        <f t="shared" si="0"/>
        <v/>
      </c>
      <c r="E15" s="57" t="str">
        <f t="shared" si="0"/>
        <v/>
      </c>
      <c r="F15" s="57" t="str">
        <f t="shared" si="0"/>
        <v/>
      </c>
      <c r="G15" s="57" t="str">
        <f t="shared" si="0"/>
        <v/>
      </c>
      <c r="H15" s="65" t="str">
        <f t="shared" si="0"/>
        <v>K, C</v>
      </c>
      <c r="I15" s="59" t="str">
        <f t="shared" si="1"/>
        <v>WS, 7</v>
      </c>
      <c r="J15" s="57">
        <v>7</v>
      </c>
      <c r="K15" s="64" t="str">
        <f t="shared" si="9"/>
        <v>1, 7</v>
      </c>
      <c r="L15" s="57" t="str">
        <f t="shared" si="9"/>
        <v/>
      </c>
      <c r="M15" s="57" t="str">
        <f t="shared" si="9"/>
        <v/>
      </c>
      <c r="N15" s="57" t="str">
        <f t="shared" si="9"/>
        <v/>
      </c>
      <c r="O15" s="57" t="str">
        <f t="shared" si="9"/>
        <v/>
      </c>
      <c r="P15" s="57" t="str">
        <f t="shared" si="9"/>
        <v>2, 7</v>
      </c>
      <c r="Q15" s="57" t="str">
        <f t="shared" si="9"/>
        <v/>
      </c>
      <c r="R15" s="57" t="str">
        <f t="shared" si="9"/>
        <v/>
      </c>
      <c r="S15" s="57" t="str">
        <f t="shared" si="9"/>
        <v/>
      </c>
      <c r="T15" s="57" t="str">
        <f t="shared" si="9"/>
        <v/>
      </c>
      <c r="U15" s="57" t="str">
        <f t="shared" si="10"/>
        <v>3, 7</v>
      </c>
      <c r="V15" s="57" t="str">
        <f t="shared" si="10"/>
        <v/>
      </c>
      <c r="W15" s="57" t="str">
        <f t="shared" si="10"/>
        <v/>
      </c>
      <c r="X15" s="57" t="str">
        <f t="shared" si="10"/>
        <v/>
      </c>
      <c r="Y15" s="57" t="str">
        <f t="shared" si="10"/>
        <v/>
      </c>
      <c r="Z15" s="57" t="str">
        <f t="shared" si="10"/>
        <v>4, 7</v>
      </c>
      <c r="AA15" s="57" t="str">
        <f t="shared" si="10"/>
        <v/>
      </c>
      <c r="AB15" s="57" t="str">
        <f t="shared" si="10"/>
        <v/>
      </c>
      <c r="AC15" s="57" t="str">
        <f t="shared" si="10"/>
        <v/>
      </c>
      <c r="AD15" s="57" t="str">
        <f t="shared" si="10"/>
        <v/>
      </c>
      <c r="AE15" s="57" t="str">
        <f t="shared" si="11"/>
        <v>5, 7</v>
      </c>
      <c r="AF15" s="57" t="str">
        <f t="shared" si="11"/>
        <v/>
      </c>
      <c r="AG15" s="57" t="str">
        <f t="shared" si="11"/>
        <v/>
      </c>
      <c r="AH15" s="57" t="str">
        <f t="shared" si="11"/>
        <v/>
      </c>
      <c r="AI15" s="57" t="str">
        <f t="shared" si="11"/>
        <v/>
      </c>
      <c r="AJ15" s="57" t="str">
        <f t="shared" si="11"/>
        <v>6, 7</v>
      </c>
      <c r="AK15" s="57" t="str">
        <f t="shared" si="11"/>
        <v/>
      </c>
      <c r="AL15" s="57" t="str">
        <f t="shared" si="11"/>
        <v/>
      </c>
      <c r="AM15" s="57" t="str">
        <f t="shared" si="11"/>
        <v/>
      </c>
      <c r="AN15" s="57" t="str">
        <f t="shared" si="11"/>
        <v/>
      </c>
      <c r="AO15" s="57" t="str">
        <f t="shared" si="12"/>
        <v>7, 7</v>
      </c>
      <c r="AP15" s="57" t="str">
        <f t="shared" si="12"/>
        <v/>
      </c>
      <c r="AQ15" s="57" t="str">
        <f t="shared" si="12"/>
        <v/>
      </c>
      <c r="AR15" s="57" t="str">
        <f t="shared" si="12"/>
        <v/>
      </c>
      <c r="AS15" s="57" t="str">
        <f t="shared" si="12"/>
        <v/>
      </c>
      <c r="AT15" s="57" t="str">
        <f t="shared" si="12"/>
        <v>8, 7</v>
      </c>
      <c r="AU15" s="57" t="str">
        <f t="shared" si="12"/>
        <v/>
      </c>
      <c r="AV15" s="57" t="str">
        <f t="shared" si="12"/>
        <v/>
      </c>
      <c r="AW15" s="57" t="str">
        <f t="shared" si="12"/>
        <v/>
      </c>
      <c r="AX15" s="57" t="str">
        <f t="shared" si="12"/>
        <v/>
      </c>
      <c r="AY15" s="57" t="str">
        <f t="shared" si="13"/>
        <v>9, 7</v>
      </c>
      <c r="AZ15" s="57" t="str">
        <f t="shared" si="13"/>
        <v/>
      </c>
      <c r="BA15" s="57" t="str">
        <f t="shared" si="13"/>
        <v/>
      </c>
      <c r="BB15" s="57" t="str">
        <f t="shared" si="13"/>
        <v/>
      </c>
      <c r="BC15" s="57" t="str">
        <f t="shared" si="13"/>
        <v/>
      </c>
      <c r="BD15" s="57" t="str">
        <f t="shared" si="13"/>
        <v>10, 7</v>
      </c>
      <c r="BE15" s="57" t="str">
        <f t="shared" si="13"/>
        <v/>
      </c>
      <c r="BF15" s="57" t="str">
        <f t="shared" si="13"/>
        <v/>
      </c>
      <c r="BG15" s="57" t="str">
        <f t="shared" si="13"/>
        <v/>
      </c>
      <c r="BH15" s="57" t="str">
        <f t="shared" si="13"/>
        <v/>
      </c>
      <c r="BI15" s="57" t="str">
        <f t="shared" si="14"/>
        <v>11, 7</v>
      </c>
      <c r="BJ15" s="57" t="str">
        <f t="shared" si="14"/>
        <v/>
      </c>
      <c r="BK15" s="57" t="str">
        <f t="shared" si="14"/>
        <v/>
      </c>
      <c r="BL15" s="57" t="str">
        <f t="shared" si="14"/>
        <v/>
      </c>
      <c r="BM15" s="57" t="str">
        <f t="shared" si="14"/>
        <v/>
      </c>
      <c r="BN15" s="57" t="str">
        <f t="shared" si="14"/>
        <v>12, 7</v>
      </c>
      <c r="BO15" s="57" t="str">
        <f t="shared" si="14"/>
        <v/>
      </c>
      <c r="BP15" s="57" t="str">
        <f t="shared" si="14"/>
        <v/>
      </c>
      <c r="BQ15" s="57" t="str">
        <f t="shared" si="14"/>
        <v/>
      </c>
      <c r="BR15" s="57" t="str">
        <f t="shared" si="14"/>
        <v/>
      </c>
      <c r="BS15" s="65" t="str">
        <f t="shared" si="14"/>
        <v>13, 7</v>
      </c>
    </row>
    <row r="16" spans="2:71" x14ac:dyDescent="0.25">
      <c r="B16" s="57"/>
      <c r="C16" s="64" t="str">
        <f t="shared" si="8"/>
        <v/>
      </c>
      <c r="D16" s="57" t="str">
        <f t="shared" si="0"/>
        <v/>
      </c>
      <c r="E16" s="57" t="str">
        <f t="shared" si="0"/>
        <v/>
      </c>
      <c r="F16" s="57" t="str">
        <f t="shared" si="0"/>
        <v/>
      </c>
      <c r="G16" s="57" t="str">
        <f t="shared" si="0"/>
        <v/>
      </c>
      <c r="H16" s="65" t="str">
        <f t="shared" si="0"/>
        <v/>
      </c>
      <c r="I16" s="59" t="str">
        <f t="shared" si="1"/>
        <v/>
      </c>
      <c r="J16" s="57"/>
      <c r="K16" s="64" t="str">
        <f t="shared" si="9"/>
        <v/>
      </c>
      <c r="L16" s="57" t="str">
        <f t="shared" si="9"/>
        <v/>
      </c>
      <c r="M16" s="57" t="str">
        <f t="shared" si="9"/>
        <v/>
      </c>
      <c r="N16" s="57" t="str">
        <f t="shared" si="9"/>
        <v/>
      </c>
      <c r="O16" s="57" t="str">
        <f t="shared" si="9"/>
        <v/>
      </c>
      <c r="P16" s="57" t="str">
        <f t="shared" si="9"/>
        <v/>
      </c>
      <c r="Q16" s="57" t="str">
        <f t="shared" si="9"/>
        <v/>
      </c>
      <c r="R16" s="57" t="str">
        <f t="shared" si="9"/>
        <v/>
      </c>
      <c r="S16" s="57" t="str">
        <f t="shared" si="9"/>
        <v/>
      </c>
      <c r="T16" s="57" t="str">
        <f t="shared" si="9"/>
        <v/>
      </c>
      <c r="U16" s="57" t="str">
        <f t="shared" si="10"/>
        <v/>
      </c>
      <c r="V16" s="57" t="str">
        <f t="shared" si="10"/>
        <v/>
      </c>
      <c r="W16" s="57" t="str">
        <f t="shared" si="10"/>
        <v/>
      </c>
      <c r="X16" s="57" t="str">
        <f t="shared" si="10"/>
        <v/>
      </c>
      <c r="Y16" s="57" t="str">
        <f t="shared" si="10"/>
        <v/>
      </c>
      <c r="Z16" s="57" t="str">
        <f t="shared" si="10"/>
        <v/>
      </c>
      <c r="AA16" s="57" t="str">
        <f t="shared" si="10"/>
        <v/>
      </c>
      <c r="AB16" s="57" t="str">
        <f t="shared" si="10"/>
        <v/>
      </c>
      <c r="AC16" s="57" t="str">
        <f t="shared" si="10"/>
        <v/>
      </c>
      <c r="AD16" s="57" t="str">
        <f t="shared" si="10"/>
        <v/>
      </c>
      <c r="AE16" s="57" t="str">
        <f t="shared" si="11"/>
        <v/>
      </c>
      <c r="AF16" s="57" t="str">
        <f t="shared" si="11"/>
        <v/>
      </c>
      <c r="AG16" s="57" t="str">
        <f t="shared" si="11"/>
        <v/>
      </c>
      <c r="AH16" s="57" t="str">
        <f t="shared" si="11"/>
        <v/>
      </c>
      <c r="AI16" s="57" t="str">
        <f t="shared" si="11"/>
        <v/>
      </c>
      <c r="AJ16" s="57" t="str">
        <f t="shared" si="11"/>
        <v/>
      </c>
      <c r="AK16" s="57" t="str">
        <f t="shared" si="11"/>
        <v/>
      </c>
      <c r="AL16" s="57" t="str">
        <f t="shared" si="11"/>
        <v/>
      </c>
      <c r="AM16" s="57" t="str">
        <f t="shared" si="11"/>
        <v/>
      </c>
      <c r="AN16" s="57" t="str">
        <f t="shared" si="11"/>
        <v/>
      </c>
      <c r="AO16" s="57" t="str">
        <f t="shared" si="12"/>
        <v/>
      </c>
      <c r="AP16" s="57" t="str">
        <f t="shared" si="12"/>
        <v/>
      </c>
      <c r="AQ16" s="57" t="str">
        <f t="shared" si="12"/>
        <v/>
      </c>
      <c r="AR16" s="57" t="str">
        <f t="shared" si="12"/>
        <v/>
      </c>
      <c r="AS16" s="57" t="str">
        <f t="shared" si="12"/>
        <v/>
      </c>
      <c r="AT16" s="57" t="str">
        <f t="shared" si="12"/>
        <v/>
      </c>
      <c r="AU16" s="57" t="str">
        <f t="shared" si="12"/>
        <v/>
      </c>
      <c r="AV16" s="57" t="str">
        <f t="shared" si="12"/>
        <v/>
      </c>
      <c r="AW16" s="57" t="str">
        <f t="shared" si="12"/>
        <v/>
      </c>
      <c r="AX16" s="57" t="str">
        <f t="shared" si="12"/>
        <v/>
      </c>
      <c r="AY16" s="57" t="str">
        <f t="shared" si="13"/>
        <v/>
      </c>
      <c r="AZ16" s="57" t="str">
        <f t="shared" si="13"/>
        <v/>
      </c>
      <c r="BA16" s="57" t="str">
        <f t="shared" si="13"/>
        <v/>
      </c>
      <c r="BB16" s="57" t="str">
        <f t="shared" si="13"/>
        <v/>
      </c>
      <c r="BC16" s="57" t="str">
        <f t="shared" si="13"/>
        <v/>
      </c>
      <c r="BD16" s="57" t="str">
        <f t="shared" si="13"/>
        <v/>
      </c>
      <c r="BE16" s="57" t="str">
        <f t="shared" si="13"/>
        <v/>
      </c>
      <c r="BF16" s="57" t="str">
        <f t="shared" si="13"/>
        <v/>
      </c>
      <c r="BG16" s="57" t="str">
        <f t="shared" si="13"/>
        <v/>
      </c>
      <c r="BH16" s="57" t="str">
        <f t="shared" si="13"/>
        <v/>
      </c>
      <c r="BI16" s="57" t="str">
        <f t="shared" si="14"/>
        <v/>
      </c>
      <c r="BJ16" s="57" t="str">
        <f t="shared" si="14"/>
        <v/>
      </c>
      <c r="BK16" s="57" t="str">
        <f t="shared" si="14"/>
        <v/>
      </c>
      <c r="BL16" s="57" t="str">
        <f t="shared" si="14"/>
        <v/>
      </c>
      <c r="BM16" s="57" t="str">
        <f t="shared" si="14"/>
        <v/>
      </c>
      <c r="BN16" s="57" t="str">
        <f t="shared" si="14"/>
        <v/>
      </c>
      <c r="BO16" s="57" t="str">
        <f t="shared" si="14"/>
        <v/>
      </c>
      <c r="BP16" s="57" t="str">
        <f t="shared" si="14"/>
        <v/>
      </c>
      <c r="BQ16" s="57" t="str">
        <f t="shared" si="14"/>
        <v/>
      </c>
      <c r="BR16" s="57" t="str">
        <f t="shared" si="14"/>
        <v/>
      </c>
      <c r="BS16" s="65" t="str">
        <f t="shared" si="14"/>
        <v/>
      </c>
    </row>
    <row r="17" spans="2:71" x14ac:dyDescent="0.25">
      <c r="B17" s="57"/>
      <c r="C17" s="64" t="str">
        <f t="shared" si="8"/>
        <v/>
      </c>
      <c r="D17" s="57" t="str">
        <f t="shared" si="0"/>
        <v/>
      </c>
      <c r="E17" s="57" t="str">
        <f t="shared" si="0"/>
        <v/>
      </c>
      <c r="F17" s="57" t="str">
        <f t="shared" si="0"/>
        <v/>
      </c>
      <c r="G17" s="57" t="str">
        <f t="shared" si="0"/>
        <v/>
      </c>
      <c r="H17" s="65" t="str">
        <f t="shared" si="0"/>
        <v/>
      </c>
      <c r="I17" s="59" t="str">
        <f t="shared" si="1"/>
        <v>WS, 8</v>
      </c>
      <c r="J17" s="57">
        <v>8</v>
      </c>
      <c r="K17" s="64" t="str">
        <f t="shared" si="9"/>
        <v>1, 8</v>
      </c>
      <c r="L17" s="57" t="str">
        <f t="shared" si="9"/>
        <v/>
      </c>
      <c r="M17" s="57" t="str">
        <f t="shared" si="9"/>
        <v/>
      </c>
      <c r="N17" s="57" t="str">
        <f t="shared" si="9"/>
        <v/>
      </c>
      <c r="O17" s="57" t="str">
        <f t="shared" si="9"/>
        <v/>
      </c>
      <c r="P17" s="57" t="str">
        <f t="shared" si="9"/>
        <v>2, 8</v>
      </c>
      <c r="Q17" s="57" t="str">
        <f t="shared" si="9"/>
        <v/>
      </c>
      <c r="R17" s="57" t="str">
        <f t="shared" si="9"/>
        <v/>
      </c>
      <c r="S17" s="57" t="str">
        <f t="shared" si="9"/>
        <v/>
      </c>
      <c r="T17" s="57" t="str">
        <f t="shared" si="9"/>
        <v/>
      </c>
      <c r="U17" s="57" t="str">
        <f t="shared" si="10"/>
        <v>3, 8</v>
      </c>
      <c r="V17" s="57" t="str">
        <f t="shared" si="10"/>
        <v/>
      </c>
      <c r="W17" s="57" t="str">
        <f t="shared" si="10"/>
        <v/>
      </c>
      <c r="X17" s="57" t="str">
        <f t="shared" si="10"/>
        <v/>
      </c>
      <c r="Y17" s="57" t="str">
        <f t="shared" si="10"/>
        <v/>
      </c>
      <c r="Z17" s="57" t="str">
        <f t="shared" si="10"/>
        <v>4, 8</v>
      </c>
      <c r="AA17" s="57" t="str">
        <f t="shared" si="10"/>
        <v/>
      </c>
      <c r="AB17" s="57" t="str">
        <f t="shared" si="10"/>
        <v/>
      </c>
      <c r="AC17" s="57" t="str">
        <f t="shared" si="10"/>
        <v/>
      </c>
      <c r="AD17" s="57" t="str">
        <f t="shared" si="10"/>
        <v/>
      </c>
      <c r="AE17" s="57" t="str">
        <f t="shared" si="11"/>
        <v>5, 8</v>
      </c>
      <c r="AF17" s="57" t="str">
        <f t="shared" si="11"/>
        <v/>
      </c>
      <c r="AG17" s="57" t="str">
        <f t="shared" si="11"/>
        <v/>
      </c>
      <c r="AH17" s="57" t="str">
        <f t="shared" si="11"/>
        <v/>
      </c>
      <c r="AI17" s="57" t="str">
        <f t="shared" si="11"/>
        <v/>
      </c>
      <c r="AJ17" s="57" t="str">
        <f t="shared" si="11"/>
        <v>6, 8</v>
      </c>
      <c r="AK17" s="57" t="str">
        <f t="shared" si="11"/>
        <v/>
      </c>
      <c r="AL17" s="57" t="str">
        <f t="shared" si="11"/>
        <v/>
      </c>
      <c r="AM17" s="57" t="str">
        <f t="shared" si="11"/>
        <v/>
      </c>
      <c r="AN17" s="57" t="str">
        <f t="shared" si="11"/>
        <v/>
      </c>
      <c r="AO17" s="57" t="str">
        <f t="shared" si="12"/>
        <v>7, 8</v>
      </c>
      <c r="AP17" s="57" t="str">
        <f t="shared" si="12"/>
        <v/>
      </c>
      <c r="AQ17" s="57" t="str">
        <f t="shared" si="12"/>
        <v/>
      </c>
      <c r="AR17" s="57" t="str">
        <f t="shared" si="12"/>
        <v/>
      </c>
      <c r="AS17" s="57" t="str">
        <f t="shared" si="12"/>
        <v/>
      </c>
      <c r="AT17" s="57" t="str">
        <f t="shared" si="12"/>
        <v>8, 8</v>
      </c>
      <c r="AU17" s="57" t="str">
        <f t="shared" si="12"/>
        <v/>
      </c>
      <c r="AV17" s="57" t="str">
        <f t="shared" si="12"/>
        <v/>
      </c>
      <c r="AW17" s="57" t="str">
        <f t="shared" si="12"/>
        <v/>
      </c>
      <c r="AX17" s="57" t="str">
        <f t="shared" si="12"/>
        <v/>
      </c>
      <c r="AY17" s="57" t="str">
        <f t="shared" si="13"/>
        <v>9, 8</v>
      </c>
      <c r="AZ17" s="57" t="str">
        <f t="shared" si="13"/>
        <v/>
      </c>
      <c r="BA17" s="57" t="str">
        <f t="shared" si="13"/>
        <v/>
      </c>
      <c r="BB17" s="57" t="str">
        <f t="shared" si="13"/>
        <v/>
      </c>
      <c r="BC17" s="57" t="str">
        <f t="shared" si="13"/>
        <v/>
      </c>
      <c r="BD17" s="57" t="str">
        <f t="shared" si="13"/>
        <v>10, 8</v>
      </c>
      <c r="BE17" s="57" t="str">
        <f t="shared" si="13"/>
        <v/>
      </c>
      <c r="BF17" s="57" t="str">
        <f t="shared" si="13"/>
        <v/>
      </c>
      <c r="BG17" s="57" t="str">
        <f t="shared" si="13"/>
        <v/>
      </c>
      <c r="BH17" s="57" t="str">
        <f t="shared" si="13"/>
        <v/>
      </c>
      <c r="BI17" s="57" t="str">
        <f t="shared" si="14"/>
        <v>11, 8</v>
      </c>
      <c r="BJ17" s="57" t="str">
        <f t="shared" si="14"/>
        <v/>
      </c>
      <c r="BK17" s="57" t="str">
        <f t="shared" si="14"/>
        <v/>
      </c>
      <c r="BL17" s="57" t="str">
        <f t="shared" si="14"/>
        <v/>
      </c>
      <c r="BM17" s="57" t="str">
        <f t="shared" si="14"/>
        <v/>
      </c>
      <c r="BN17" s="57" t="str">
        <f t="shared" si="14"/>
        <v>12, 8</v>
      </c>
      <c r="BO17" s="57" t="str">
        <f t="shared" si="14"/>
        <v/>
      </c>
      <c r="BP17" s="57" t="str">
        <f t="shared" si="14"/>
        <v/>
      </c>
      <c r="BQ17" s="57" t="str">
        <f t="shared" si="14"/>
        <v/>
      </c>
      <c r="BR17" s="57" t="str">
        <f t="shared" si="14"/>
        <v/>
      </c>
      <c r="BS17" s="65" t="str">
        <f t="shared" si="14"/>
        <v>13, 8</v>
      </c>
    </row>
    <row r="18" spans="2:71" x14ac:dyDescent="0.25">
      <c r="B18" s="57"/>
      <c r="C18" s="64" t="str">
        <f t="shared" si="8"/>
        <v/>
      </c>
      <c r="D18" s="57" t="str">
        <f t="shared" si="0"/>
        <v/>
      </c>
      <c r="E18" s="57" t="str">
        <f t="shared" si="0"/>
        <v/>
      </c>
      <c r="F18" s="57" t="str">
        <f t="shared" si="0"/>
        <v/>
      </c>
      <c r="G18" s="57" t="str">
        <f t="shared" si="0"/>
        <v/>
      </c>
      <c r="H18" s="65" t="str">
        <f t="shared" si="0"/>
        <v/>
      </c>
      <c r="I18" s="59" t="str">
        <f t="shared" si="1"/>
        <v/>
      </c>
      <c r="J18" s="57"/>
      <c r="K18" s="64" t="str">
        <f t="shared" si="9"/>
        <v/>
      </c>
      <c r="L18" s="57" t="str">
        <f t="shared" si="9"/>
        <v/>
      </c>
      <c r="M18" s="57" t="str">
        <f t="shared" si="9"/>
        <v/>
      </c>
      <c r="N18" s="57" t="str">
        <f t="shared" si="9"/>
        <v/>
      </c>
      <c r="O18" s="57" t="str">
        <f t="shared" si="9"/>
        <v/>
      </c>
      <c r="P18" s="57" t="str">
        <f t="shared" si="9"/>
        <v/>
      </c>
      <c r="Q18" s="57" t="str">
        <f t="shared" si="9"/>
        <v/>
      </c>
      <c r="R18" s="57" t="str">
        <f t="shared" si="9"/>
        <v/>
      </c>
      <c r="S18" s="57" t="str">
        <f t="shared" si="9"/>
        <v/>
      </c>
      <c r="T18" s="57" t="str">
        <f t="shared" si="9"/>
        <v/>
      </c>
      <c r="U18" s="57" t="str">
        <f t="shared" si="10"/>
        <v/>
      </c>
      <c r="V18" s="57" t="str">
        <f t="shared" si="10"/>
        <v/>
      </c>
      <c r="W18" s="57" t="str">
        <f t="shared" si="10"/>
        <v/>
      </c>
      <c r="X18" s="57" t="str">
        <f t="shared" si="10"/>
        <v/>
      </c>
      <c r="Y18" s="57" t="str">
        <f t="shared" si="10"/>
        <v/>
      </c>
      <c r="Z18" s="57" t="str">
        <f t="shared" si="10"/>
        <v/>
      </c>
      <c r="AA18" s="57" t="str">
        <f t="shared" si="10"/>
        <v/>
      </c>
      <c r="AB18" s="57" t="str">
        <f t="shared" si="10"/>
        <v/>
      </c>
      <c r="AC18" s="57" t="str">
        <f t="shared" si="10"/>
        <v/>
      </c>
      <c r="AD18" s="57" t="str">
        <f t="shared" si="10"/>
        <v/>
      </c>
      <c r="AE18" s="57" t="str">
        <f t="shared" si="11"/>
        <v/>
      </c>
      <c r="AF18" s="57" t="str">
        <f t="shared" si="11"/>
        <v/>
      </c>
      <c r="AG18" s="57" t="str">
        <f t="shared" si="11"/>
        <v/>
      </c>
      <c r="AH18" s="57" t="str">
        <f t="shared" si="11"/>
        <v/>
      </c>
      <c r="AI18" s="57" t="str">
        <f t="shared" si="11"/>
        <v/>
      </c>
      <c r="AJ18" s="57" t="str">
        <f t="shared" si="11"/>
        <v/>
      </c>
      <c r="AK18" s="57" t="str">
        <f t="shared" si="11"/>
        <v/>
      </c>
      <c r="AL18" s="57" t="str">
        <f t="shared" si="11"/>
        <v/>
      </c>
      <c r="AM18" s="57" t="str">
        <f t="shared" si="11"/>
        <v/>
      </c>
      <c r="AN18" s="57" t="str">
        <f t="shared" si="11"/>
        <v/>
      </c>
      <c r="AO18" s="57" t="str">
        <f t="shared" si="12"/>
        <v/>
      </c>
      <c r="AP18" s="57" t="str">
        <f t="shared" si="12"/>
        <v/>
      </c>
      <c r="AQ18" s="57" t="str">
        <f t="shared" si="12"/>
        <v/>
      </c>
      <c r="AR18" s="57" t="str">
        <f t="shared" si="12"/>
        <v/>
      </c>
      <c r="AS18" s="57" t="str">
        <f t="shared" si="12"/>
        <v/>
      </c>
      <c r="AT18" s="57" t="str">
        <f t="shared" si="12"/>
        <v/>
      </c>
      <c r="AU18" s="57" t="str">
        <f t="shared" si="12"/>
        <v/>
      </c>
      <c r="AV18" s="57" t="str">
        <f t="shared" si="12"/>
        <v/>
      </c>
      <c r="AW18" s="57" t="str">
        <f t="shared" si="12"/>
        <v/>
      </c>
      <c r="AX18" s="57" t="str">
        <f t="shared" si="12"/>
        <v/>
      </c>
      <c r="AY18" s="57" t="str">
        <f t="shared" si="13"/>
        <v/>
      </c>
      <c r="AZ18" s="57" t="str">
        <f t="shared" si="13"/>
        <v/>
      </c>
      <c r="BA18" s="57" t="str">
        <f t="shared" si="13"/>
        <v/>
      </c>
      <c r="BB18" s="57" t="str">
        <f t="shared" si="13"/>
        <v/>
      </c>
      <c r="BC18" s="57" t="str">
        <f t="shared" si="13"/>
        <v/>
      </c>
      <c r="BD18" s="57" t="str">
        <f t="shared" si="13"/>
        <v/>
      </c>
      <c r="BE18" s="57" t="str">
        <f t="shared" si="13"/>
        <v/>
      </c>
      <c r="BF18" s="57" t="str">
        <f t="shared" si="13"/>
        <v/>
      </c>
      <c r="BG18" s="57" t="str">
        <f t="shared" si="13"/>
        <v/>
      </c>
      <c r="BH18" s="57" t="str">
        <f t="shared" si="13"/>
        <v/>
      </c>
      <c r="BI18" s="57" t="str">
        <f t="shared" si="14"/>
        <v/>
      </c>
      <c r="BJ18" s="57" t="str">
        <f t="shared" si="14"/>
        <v/>
      </c>
      <c r="BK18" s="57" t="str">
        <f t="shared" si="14"/>
        <v/>
      </c>
      <c r="BL18" s="57" t="str">
        <f t="shared" si="14"/>
        <v/>
      </c>
      <c r="BM18" s="57" t="str">
        <f t="shared" si="14"/>
        <v/>
      </c>
      <c r="BN18" s="57" t="str">
        <f t="shared" si="14"/>
        <v/>
      </c>
      <c r="BO18" s="57" t="str">
        <f t="shared" si="14"/>
        <v/>
      </c>
      <c r="BP18" s="57" t="str">
        <f t="shared" si="14"/>
        <v/>
      </c>
      <c r="BQ18" s="57" t="str">
        <f t="shared" si="14"/>
        <v/>
      </c>
      <c r="BR18" s="57" t="str">
        <f t="shared" si="14"/>
        <v/>
      </c>
      <c r="BS18" s="65" t="str">
        <f t="shared" si="14"/>
        <v/>
      </c>
    </row>
    <row r="19" spans="2:71" x14ac:dyDescent="0.25">
      <c r="B19" s="57"/>
      <c r="C19" s="64" t="str">
        <f t="shared" si="8"/>
        <v/>
      </c>
      <c r="D19" s="57" t="str">
        <f t="shared" si="8"/>
        <v/>
      </c>
      <c r="E19" s="57" t="str">
        <f t="shared" si="8"/>
        <v/>
      </c>
      <c r="F19" s="57" t="str">
        <f t="shared" si="8"/>
        <v/>
      </c>
      <c r="G19" s="57" t="str">
        <f t="shared" si="8"/>
        <v/>
      </c>
      <c r="H19" s="65" t="str">
        <f t="shared" si="8"/>
        <v/>
      </c>
      <c r="I19" s="59" t="str">
        <f t="shared" si="1"/>
        <v>WS, 9</v>
      </c>
      <c r="J19" s="57">
        <v>9</v>
      </c>
      <c r="K19" s="64" t="str">
        <f t="shared" si="9"/>
        <v>1, 9</v>
      </c>
      <c r="L19" s="57" t="str">
        <f t="shared" si="9"/>
        <v/>
      </c>
      <c r="M19" s="57" t="str">
        <f t="shared" si="9"/>
        <v/>
      </c>
      <c r="N19" s="57" t="str">
        <f t="shared" si="9"/>
        <v/>
      </c>
      <c r="O19" s="57" t="str">
        <f t="shared" si="9"/>
        <v/>
      </c>
      <c r="P19" s="57" t="str">
        <f t="shared" si="9"/>
        <v>2, 9</v>
      </c>
      <c r="Q19" s="57" t="str">
        <f t="shared" si="9"/>
        <v/>
      </c>
      <c r="R19" s="57" t="str">
        <f t="shared" si="9"/>
        <v/>
      </c>
      <c r="S19" s="57" t="str">
        <f t="shared" si="9"/>
        <v/>
      </c>
      <c r="T19" s="57" t="str">
        <f t="shared" si="9"/>
        <v/>
      </c>
      <c r="U19" s="57" t="str">
        <f t="shared" si="10"/>
        <v>3, 9</v>
      </c>
      <c r="V19" s="57" t="str">
        <f t="shared" si="10"/>
        <v/>
      </c>
      <c r="W19" s="57" t="str">
        <f t="shared" si="10"/>
        <v/>
      </c>
      <c r="X19" s="57" t="str">
        <f t="shared" si="10"/>
        <v/>
      </c>
      <c r="Y19" s="57" t="str">
        <f t="shared" si="10"/>
        <v/>
      </c>
      <c r="Z19" s="57" t="str">
        <f t="shared" si="10"/>
        <v>4, 9</v>
      </c>
      <c r="AA19" s="57" t="str">
        <f t="shared" si="10"/>
        <v/>
      </c>
      <c r="AB19" s="57" t="str">
        <f t="shared" si="10"/>
        <v/>
      </c>
      <c r="AC19" s="57" t="str">
        <f t="shared" si="10"/>
        <v/>
      </c>
      <c r="AD19" s="57" t="str">
        <f t="shared" si="10"/>
        <v/>
      </c>
      <c r="AE19" s="57" t="str">
        <f t="shared" si="11"/>
        <v>5, 9</v>
      </c>
      <c r="AF19" s="57" t="str">
        <f t="shared" si="11"/>
        <v/>
      </c>
      <c r="AG19" s="57" t="str">
        <f t="shared" si="11"/>
        <v/>
      </c>
      <c r="AH19" s="57" t="str">
        <f t="shared" si="11"/>
        <v/>
      </c>
      <c r="AI19" s="57" t="str">
        <f t="shared" si="11"/>
        <v/>
      </c>
      <c r="AJ19" s="57" t="str">
        <f t="shared" si="11"/>
        <v>6, 9</v>
      </c>
      <c r="AK19" s="57" t="str">
        <f t="shared" si="11"/>
        <v/>
      </c>
      <c r="AL19" s="57" t="str">
        <f t="shared" si="11"/>
        <v/>
      </c>
      <c r="AM19" s="57" t="str">
        <f t="shared" si="11"/>
        <v/>
      </c>
      <c r="AN19" s="57" t="str">
        <f t="shared" si="11"/>
        <v/>
      </c>
      <c r="AO19" s="57" t="str">
        <f t="shared" si="12"/>
        <v>7, 9</v>
      </c>
      <c r="AP19" s="57" t="str">
        <f t="shared" si="12"/>
        <v/>
      </c>
      <c r="AQ19" s="57" t="str">
        <f t="shared" si="12"/>
        <v/>
      </c>
      <c r="AR19" s="57" t="str">
        <f t="shared" si="12"/>
        <v/>
      </c>
      <c r="AS19" s="57" t="str">
        <f t="shared" si="12"/>
        <v/>
      </c>
      <c r="AT19" s="57" t="str">
        <f t="shared" si="12"/>
        <v>8, 9</v>
      </c>
      <c r="AU19" s="57" t="str">
        <f t="shared" si="12"/>
        <v/>
      </c>
      <c r="AV19" s="57" t="str">
        <f t="shared" si="12"/>
        <v/>
      </c>
      <c r="AW19" s="57" t="str">
        <f t="shared" si="12"/>
        <v/>
      </c>
      <c r="AX19" s="57" t="str">
        <f t="shared" si="12"/>
        <v/>
      </c>
      <c r="AY19" s="57" t="str">
        <f t="shared" si="13"/>
        <v>9, 9</v>
      </c>
      <c r="AZ19" s="57" t="str">
        <f t="shared" si="13"/>
        <v/>
      </c>
      <c r="BA19" s="57" t="str">
        <f t="shared" si="13"/>
        <v/>
      </c>
      <c r="BB19" s="57" t="str">
        <f t="shared" si="13"/>
        <v/>
      </c>
      <c r="BC19" s="57" t="str">
        <f t="shared" si="13"/>
        <v/>
      </c>
      <c r="BD19" s="57" t="str">
        <f t="shared" si="13"/>
        <v>10, 9</v>
      </c>
      <c r="BE19" s="57" t="str">
        <f t="shared" si="13"/>
        <v/>
      </c>
      <c r="BF19" s="57" t="str">
        <f t="shared" si="13"/>
        <v/>
      </c>
      <c r="BG19" s="57" t="str">
        <f t="shared" si="13"/>
        <v/>
      </c>
      <c r="BH19" s="57" t="str">
        <f t="shared" si="13"/>
        <v/>
      </c>
      <c r="BI19" s="57" t="str">
        <f t="shared" si="14"/>
        <v>11, 9</v>
      </c>
      <c r="BJ19" s="57" t="str">
        <f t="shared" si="14"/>
        <v/>
      </c>
      <c r="BK19" s="57" t="str">
        <f t="shared" si="14"/>
        <v/>
      </c>
      <c r="BL19" s="57" t="str">
        <f t="shared" si="14"/>
        <v/>
      </c>
      <c r="BM19" s="57" t="str">
        <f t="shared" si="14"/>
        <v/>
      </c>
      <c r="BN19" s="57" t="str">
        <f t="shared" si="14"/>
        <v>12, 9</v>
      </c>
      <c r="BO19" s="57" t="str">
        <f t="shared" si="14"/>
        <v/>
      </c>
      <c r="BP19" s="57" t="str">
        <f t="shared" si="14"/>
        <v/>
      </c>
      <c r="BQ19" s="57" t="str">
        <f t="shared" si="14"/>
        <v/>
      </c>
      <c r="BR19" s="57" t="str">
        <f t="shared" si="14"/>
        <v/>
      </c>
      <c r="BS19" s="65" t="str">
        <f t="shared" si="14"/>
        <v>13, 9</v>
      </c>
    </row>
    <row r="20" spans="2:71" x14ac:dyDescent="0.25">
      <c r="B20" s="57"/>
      <c r="C20" s="64" t="str">
        <f t="shared" si="8"/>
        <v/>
      </c>
      <c r="D20" s="57" t="str">
        <f t="shared" si="8"/>
        <v/>
      </c>
      <c r="E20" s="57" t="str">
        <f t="shared" si="8"/>
        <v/>
      </c>
      <c r="F20" s="57" t="str">
        <f t="shared" si="8"/>
        <v/>
      </c>
      <c r="G20" s="57" t="str">
        <f t="shared" si="8"/>
        <v/>
      </c>
      <c r="H20" s="65" t="str">
        <f t="shared" si="8"/>
        <v/>
      </c>
      <c r="I20" s="59" t="str">
        <f t="shared" si="1"/>
        <v/>
      </c>
      <c r="J20" s="57"/>
      <c r="K20" s="64" t="str">
        <f t="shared" si="9"/>
        <v/>
      </c>
      <c r="L20" s="57" t="str">
        <f t="shared" si="9"/>
        <v/>
      </c>
      <c r="M20" s="57" t="str">
        <f t="shared" si="9"/>
        <v/>
      </c>
      <c r="N20" s="57" t="str">
        <f t="shared" si="9"/>
        <v/>
      </c>
      <c r="O20" s="57" t="str">
        <f t="shared" si="9"/>
        <v/>
      </c>
      <c r="P20" s="57" t="str">
        <f t="shared" si="9"/>
        <v/>
      </c>
      <c r="Q20" s="57" t="str">
        <f t="shared" si="9"/>
        <v/>
      </c>
      <c r="R20" s="57" t="str">
        <f t="shared" si="9"/>
        <v/>
      </c>
      <c r="S20" s="57" t="str">
        <f t="shared" si="9"/>
        <v/>
      </c>
      <c r="T20" s="57" t="str">
        <f t="shared" si="9"/>
        <v/>
      </c>
      <c r="U20" s="57" t="str">
        <f t="shared" si="10"/>
        <v/>
      </c>
      <c r="V20" s="57" t="str">
        <f t="shared" si="10"/>
        <v/>
      </c>
      <c r="W20" s="57" t="str">
        <f t="shared" si="10"/>
        <v/>
      </c>
      <c r="X20" s="57" t="str">
        <f t="shared" si="10"/>
        <v/>
      </c>
      <c r="Y20" s="57" t="str">
        <f t="shared" si="10"/>
        <v/>
      </c>
      <c r="Z20" s="57" t="str">
        <f t="shared" si="10"/>
        <v/>
      </c>
      <c r="AA20" s="57" t="str">
        <f t="shared" si="10"/>
        <v/>
      </c>
      <c r="AB20" s="57" t="str">
        <f t="shared" si="10"/>
        <v/>
      </c>
      <c r="AC20" s="57" t="str">
        <f t="shared" si="10"/>
        <v/>
      </c>
      <c r="AD20" s="57" t="str">
        <f t="shared" si="10"/>
        <v/>
      </c>
      <c r="AE20" s="57" t="str">
        <f t="shared" si="11"/>
        <v/>
      </c>
      <c r="AF20" s="57" t="str">
        <f t="shared" si="11"/>
        <v/>
      </c>
      <c r="AG20" s="57" t="str">
        <f t="shared" si="11"/>
        <v/>
      </c>
      <c r="AH20" s="57" t="str">
        <f t="shared" si="11"/>
        <v/>
      </c>
      <c r="AI20" s="57" t="str">
        <f t="shared" si="11"/>
        <v/>
      </c>
      <c r="AJ20" s="57" t="str">
        <f t="shared" si="11"/>
        <v/>
      </c>
      <c r="AK20" s="57" t="str">
        <f t="shared" si="11"/>
        <v/>
      </c>
      <c r="AL20" s="57" t="str">
        <f t="shared" si="11"/>
        <v/>
      </c>
      <c r="AM20" s="57" t="str">
        <f t="shared" si="11"/>
        <v/>
      </c>
      <c r="AN20" s="57" t="str">
        <f t="shared" si="11"/>
        <v/>
      </c>
      <c r="AO20" s="57" t="str">
        <f t="shared" si="12"/>
        <v/>
      </c>
      <c r="AP20" s="57" t="str">
        <f t="shared" si="12"/>
        <v/>
      </c>
      <c r="AQ20" s="57" t="str">
        <f t="shared" si="12"/>
        <v/>
      </c>
      <c r="AR20" s="57" t="str">
        <f t="shared" si="12"/>
        <v/>
      </c>
      <c r="AS20" s="57" t="str">
        <f t="shared" si="12"/>
        <v/>
      </c>
      <c r="AT20" s="57" t="str">
        <f t="shared" si="12"/>
        <v/>
      </c>
      <c r="AU20" s="57" t="str">
        <f t="shared" si="12"/>
        <v/>
      </c>
      <c r="AV20" s="57" t="str">
        <f t="shared" si="12"/>
        <v/>
      </c>
      <c r="AW20" s="57" t="str">
        <f t="shared" si="12"/>
        <v/>
      </c>
      <c r="AX20" s="57" t="str">
        <f t="shared" si="12"/>
        <v/>
      </c>
      <c r="AY20" s="57" t="str">
        <f t="shared" si="13"/>
        <v/>
      </c>
      <c r="AZ20" s="57" t="str">
        <f t="shared" si="13"/>
        <v/>
      </c>
      <c r="BA20" s="57" t="str">
        <f t="shared" si="13"/>
        <v/>
      </c>
      <c r="BB20" s="57" t="str">
        <f t="shared" si="13"/>
        <v/>
      </c>
      <c r="BC20" s="57" t="str">
        <f t="shared" si="13"/>
        <v/>
      </c>
      <c r="BD20" s="57" t="str">
        <f t="shared" si="13"/>
        <v/>
      </c>
      <c r="BE20" s="57" t="str">
        <f t="shared" si="13"/>
        <v/>
      </c>
      <c r="BF20" s="57" t="str">
        <f t="shared" si="13"/>
        <v/>
      </c>
      <c r="BG20" s="57" t="str">
        <f t="shared" si="13"/>
        <v/>
      </c>
      <c r="BH20" s="57" t="str">
        <f t="shared" si="13"/>
        <v/>
      </c>
      <c r="BI20" s="57" t="str">
        <f t="shared" si="14"/>
        <v/>
      </c>
      <c r="BJ20" s="57" t="str">
        <f t="shared" si="14"/>
        <v/>
      </c>
      <c r="BK20" s="57" t="str">
        <f t="shared" si="14"/>
        <v/>
      </c>
      <c r="BL20" s="57" t="str">
        <f t="shared" si="14"/>
        <v/>
      </c>
      <c r="BM20" s="57" t="str">
        <f t="shared" si="14"/>
        <v/>
      </c>
      <c r="BN20" s="57" t="str">
        <f t="shared" si="14"/>
        <v/>
      </c>
      <c r="BO20" s="57" t="str">
        <f t="shared" si="14"/>
        <v/>
      </c>
      <c r="BP20" s="57" t="str">
        <f t="shared" si="14"/>
        <v/>
      </c>
      <c r="BQ20" s="57" t="str">
        <f t="shared" si="14"/>
        <v/>
      </c>
      <c r="BR20" s="57" t="str">
        <f t="shared" si="14"/>
        <v/>
      </c>
      <c r="BS20" s="65" t="str">
        <f t="shared" si="14"/>
        <v/>
      </c>
    </row>
    <row r="21" spans="2:71" ht="15.75" thickBot="1" x14ac:dyDescent="0.3">
      <c r="B21" s="57" t="s">
        <v>75</v>
      </c>
      <c r="C21" s="66" t="str">
        <f t="shared" si="8"/>
        <v>A, D</v>
      </c>
      <c r="D21" s="67" t="str">
        <f t="shared" si="8"/>
        <v/>
      </c>
      <c r="E21" s="67" t="str">
        <f t="shared" si="8"/>
        <v/>
      </c>
      <c r="F21" s="67" t="str">
        <f t="shared" si="8"/>
        <v/>
      </c>
      <c r="G21" s="67" t="str">
        <f t="shared" si="8"/>
        <v/>
      </c>
      <c r="H21" s="68" t="str">
        <f t="shared" si="8"/>
        <v>K, D</v>
      </c>
      <c r="I21" s="59" t="str">
        <f t="shared" si="1"/>
        <v>WS, 10</v>
      </c>
      <c r="J21" s="57">
        <v>10</v>
      </c>
      <c r="K21" s="64" t="str">
        <f t="shared" si="9"/>
        <v>1, 10</v>
      </c>
      <c r="L21" s="57" t="str">
        <f t="shared" si="9"/>
        <v/>
      </c>
      <c r="M21" s="57" t="str">
        <f t="shared" si="9"/>
        <v/>
      </c>
      <c r="N21" s="57" t="str">
        <f t="shared" si="9"/>
        <v/>
      </c>
      <c r="O21" s="57" t="str">
        <f t="shared" si="9"/>
        <v/>
      </c>
      <c r="P21" s="57" t="str">
        <f t="shared" si="9"/>
        <v>2, 10</v>
      </c>
      <c r="Q21" s="57" t="str">
        <f t="shared" si="9"/>
        <v/>
      </c>
      <c r="R21" s="57" t="str">
        <f t="shared" si="9"/>
        <v/>
      </c>
      <c r="S21" s="57" t="str">
        <f t="shared" si="9"/>
        <v/>
      </c>
      <c r="T21" s="57" t="str">
        <f t="shared" si="9"/>
        <v/>
      </c>
      <c r="U21" s="57" t="str">
        <f t="shared" si="10"/>
        <v>3, 10</v>
      </c>
      <c r="V21" s="57" t="str">
        <f t="shared" si="10"/>
        <v/>
      </c>
      <c r="W21" s="57" t="str">
        <f t="shared" si="10"/>
        <v/>
      </c>
      <c r="X21" s="57" t="str">
        <f t="shared" si="10"/>
        <v/>
      </c>
      <c r="Y21" s="57" t="str">
        <f t="shared" si="10"/>
        <v/>
      </c>
      <c r="Z21" s="57" t="str">
        <f t="shared" si="10"/>
        <v>4, 10</v>
      </c>
      <c r="AA21" s="57" t="str">
        <f t="shared" si="10"/>
        <v/>
      </c>
      <c r="AB21" s="57" t="str">
        <f t="shared" si="10"/>
        <v/>
      </c>
      <c r="AC21" s="57" t="str">
        <f t="shared" si="10"/>
        <v/>
      </c>
      <c r="AD21" s="57" t="str">
        <f t="shared" si="10"/>
        <v/>
      </c>
      <c r="AE21" s="57" t="str">
        <f t="shared" si="11"/>
        <v>5, 10</v>
      </c>
      <c r="AF21" s="57" t="str">
        <f t="shared" si="11"/>
        <v/>
      </c>
      <c r="AG21" s="57" t="str">
        <f t="shared" si="11"/>
        <v/>
      </c>
      <c r="AH21" s="57" t="str">
        <f t="shared" si="11"/>
        <v/>
      </c>
      <c r="AI21" s="57" t="str">
        <f t="shared" si="11"/>
        <v/>
      </c>
      <c r="AJ21" s="57" t="str">
        <f t="shared" si="11"/>
        <v>6, 10</v>
      </c>
      <c r="AK21" s="57" t="str">
        <f t="shared" si="11"/>
        <v/>
      </c>
      <c r="AL21" s="57" t="str">
        <f t="shared" si="11"/>
        <v/>
      </c>
      <c r="AM21" s="57" t="str">
        <f t="shared" si="11"/>
        <v/>
      </c>
      <c r="AN21" s="57" t="str">
        <f t="shared" si="11"/>
        <v/>
      </c>
      <c r="AO21" s="57" t="str">
        <f t="shared" si="12"/>
        <v>7, 10</v>
      </c>
      <c r="AP21" s="57" t="str">
        <f t="shared" si="12"/>
        <v/>
      </c>
      <c r="AQ21" s="57" t="str">
        <f t="shared" si="12"/>
        <v/>
      </c>
      <c r="AR21" s="57" t="str">
        <f t="shared" si="12"/>
        <v/>
      </c>
      <c r="AS21" s="57" t="str">
        <f t="shared" si="12"/>
        <v/>
      </c>
      <c r="AT21" s="57" t="str">
        <f t="shared" si="12"/>
        <v>8, 10</v>
      </c>
      <c r="AU21" s="57" t="str">
        <f t="shared" si="12"/>
        <v/>
      </c>
      <c r="AV21" s="57" t="str">
        <f t="shared" si="12"/>
        <v/>
      </c>
      <c r="AW21" s="57" t="str">
        <f t="shared" si="12"/>
        <v/>
      </c>
      <c r="AX21" s="57" t="str">
        <f t="shared" si="12"/>
        <v/>
      </c>
      <c r="AY21" s="57" t="str">
        <f t="shared" si="13"/>
        <v>9, 10</v>
      </c>
      <c r="AZ21" s="57" t="str">
        <f t="shared" si="13"/>
        <v/>
      </c>
      <c r="BA21" s="57" t="str">
        <f t="shared" si="13"/>
        <v/>
      </c>
      <c r="BB21" s="57" t="str">
        <f t="shared" si="13"/>
        <v/>
      </c>
      <c r="BC21" s="57" t="str">
        <f t="shared" si="13"/>
        <v/>
      </c>
      <c r="BD21" s="57" t="str">
        <f t="shared" si="13"/>
        <v>10, 10</v>
      </c>
      <c r="BE21" s="57" t="str">
        <f t="shared" si="13"/>
        <v/>
      </c>
      <c r="BF21" s="57" t="str">
        <f t="shared" si="13"/>
        <v/>
      </c>
      <c r="BG21" s="57" t="str">
        <f t="shared" si="13"/>
        <v/>
      </c>
      <c r="BH21" s="57" t="str">
        <f t="shared" si="13"/>
        <v/>
      </c>
      <c r="BI21" s="57" t="str">
        <f t="shared" si="14"/>
        <v>11, 10</v>
      </c>
      <c r="BJ21" s="57" t="str">
        <f t="shared" si="14"/>
        <v/>
      </c>
      <c r="BK21" s="57" t="str">
        <f t="shared" si="14"/>
        <v/>
      </c>
      <c r="BL21" s="57" t="str">
        <f t="shared" si="14"/>
        <v/>
      </c>
      <c r="BM21" s="57" t="str">
        <f t="shared" si="14"/>
        <v/>
      </c>
      <c r="BN21" s="57" t="str">
        <f t="shared" si="14"/>
        <v>12, 10</v>
      </c>
      <c r="BO21" s="57" t="str">
        <f t="shared" si="14"/>
        <v/>
      </c>
      <c r="BP21" s="57" t="str">
        <f t="shared" si="14"/>
        <v/>
      </c>
      <c r="BQ21" s="57" t="str">
        <f t="shared" si="14"/>
        <v/>
      </c>
      <c r="BR21" s="57" t="str">
        <f t="shared" si="14"/>
        <v/>
      </c>
      <c r="BS21" s="65" t="str">
        <f t="shared" si="14"/>
        <v>13, 10</v>
      </c>
    </row>
    <row r="22" spans="2:71" x14ac:dyDescent="0.25">
      <c r="B22" s="57"/>
      <c r="C22" s="57"/>
      <c r="D22" s="57"/>
      <c r="E22" s="57"/>
      <c r="F22" s="57"/>
      <c r="G22" s="57"/>
      <c r="H22" s="57"/>
      <c r="I22" s="59" t="str">
        <f t="shared" si="1"/>
        <v/>
      </c>
      <c r="J22" s="57"/>
      <c r="K22" s="64" t="str">
        <f t="shared" si="9"/>
        <v/>
      </c>
      <c r="L22" s="57" t="str">
        <f t="shared" si="9"/>
        <v/>
      </c>
      <c r="M22" s="57" t="str">
        <f t="shared" si="9"/>
        <v/>
      </c>
      <c r="N22" s="57" t="str">
        <f t="shared" si="9"/>
        <v/>
      </c>
      <c r="O22" s="57" t="str">
        <f t="shared" si="9"/>
        <v/>
      </c>
      <c r="P22" s="57" t="str">
        <f t="shared" si="9"/>
        <v/>
      </c>
      <c r="Q22" s="57" t="str">
        <f t="shared" si="9"/>
        <v/>
      </c>
      <c r="R22" s="57" t="str">
        <f t="shared" si="9"/>
        <v/>
      </c>
      <c r="S22" s="57" t="str">
        <f t="shared" si="9"/>
        <v/>
      </c>
      <c r="T22" s="57" t="str">
        <f t="shared" si="9"/>
        <v/>
      </c>
      <c r="U22" s="57" t="str">
        <f t="shared" si="10"/>
        <v/>
      </c>
      <c r="V22" s="57" t="str">
        <f t="shared" si="10"/>
        <v/>
      </c>
      <c r="W22" s="57" t="str">
        <f t="shared" si="10"/>
        <v/>
      </c>
      <c r="X22" s="57" t="str">
        <f t="shared" si="10"/>
        <v/>
      </c>
      <c r="Y22" s="57" t="str">
        <f t="shared" si="10"/>
        <v/>
      </c>
      <c r="Z22" s="57" t="str">
        <f t="shared" si="10"/>
        <v/>
      </c>
      <c r="AA22" s="57" t="str">
        <f t="shared" si="10"/>
        <v/>
      </c>
      <c r="AB22" s="57" t="str">
        <f t="shared" si="10"/>
        <v/>
      </c>
      <c r="AC22" s="57" t="str">
        <f t="shared" si="10"/>
        <v/>
      </c>
      <c r="AD22" s="57" t="str">
        <f t="shared" si="10"/>
        <v/>
      </c>
      <c r="AE22" s="57" t="str">
        <f t="shared" si="11"/>
        <v/>
      </c>
      <c r="AF22" s="57" t="str">
        <f t="shared" si="11"/>
        <v/>
      </c>
      <c r="AG22" s="57" t="str">
        <f t="shared" si="11"/>
        <v/>
      </c>
      <c r="AH22" s="57" t="str">
        <f t="shared" si="11"/>
        <v/>
      </c>
      <c r="AI22" s="57" t="str">
        <f t="shared" si="11"/>
        <v/>
      </c>
      <c r="AJ22" s="57" t="str">
        <f t="shared" si="11"/>
        <v/>
      </c>
      <c r="AK22" s="57" t="str">
        <f t="shared" si="11"/>
        <v/>
      </c>
      <c r="AL22" s="57" t="str">
        <f t="shared" si="11"/>
        <v/>
      </c>
      <c r="AM22" s="57" t="str">
        <f t="shared" si="11"/>
        <v/>
      </c>
      <c r="AN22" s="57" t="str">
        <f t="shared" si="11"/>
        <v/>
      </c>
      <c r="AO22" s="57" t="str">
        <f t="shared" si="12"/>
        <v/>
      </c>
      <c r="AP22" s="57" t="str">
        <f t="shared" si="12"/>
        <v/>
      </c>
      <c r="AQ22" s="57" t="str">
        <f t="shared" si="12"/>
        <v/>
      </c>
      <c r="AR22" s="57" t="str">
        <f t="shared" si="12"/>
        <v/>
      </c>
      <c r="AS22" s="57" t="str">
        <f t="shared" si="12"/>
        <v/>
      </c>
      <c r="AT22" s="57" t="str">
        <f t="shared" si="12"/>
        <v/>
      </c>
      <c r="AU22" s="57" t="str">
        <f t="shared" si="12"/>
        <v/>
      </c>
      <c r="AV22" s="57" t="str">
        <f t="shared" si="12"/>
        <v/>
      </c>
      <c r="AW22" s="57" t="str">
        <f t="shared" si="12"/>
        <v/>
      </c>
      <c r="AX22" s="57" t="str">
        <f t="shared" si="12"/>
        <v/>
      </c>
      <c r="AY22" s="57" t="str">
        <f t="shared" si="13"/>
        <v/>
      </c>
      <c r="AZ22" s="57" t="str">
        <f t="shared" si="13"/>
        <v/>
      </c>
      <c r="BA22" s="57" t="str">
        <f t="shared" si="13"/>
        <v/>
      </c>
      <c r="BB22" s="57" t="str">
        <f t="shared" si="13"/>
        <v/>
      </c>
      <c r="BC22" s="57" t="str">
        <f t="shared" si="13"/>
        <v/>
      </c>
      <c r="BD22" s="57" t="str">
        <f t="shared" si="13"/>
        <v/>
      </c>
      <c r="BE22" s="57" t="str">
        <f t="shared" si="13"/>
        <v/>
      </c>
      <c r="BF22" s="57" t="str">
        <f t="shared" si="13"/>
        <v/>
      </c>
      <c r="BG22" s="57" t="str">
        <f t="shared" si="13"/>
        <v/>
      </c>
      <c r="BH22" s="57" t="str">
        <f t="shared" si="13"/>
        <v/>
      </c>
      <c r="BI22" s="57" t="str">
        <f t="shared" si="14"/>
        <v/>
      </c>
      <c r="BJ22" s="57" t="str">
        <f t="shared" si="14"/>
        <v/>
      </c>
      <c r="BK22" s="57" t="str">
        <f t="shared" si="14"/>
        <v/>
      </c>
      <c r="BL22" s="57" t="str">
        <f t="shared" si="14"/>
        <v/>
      </c>
      <c r="BM22" s="57" t="str">
        <f t="shared" si="14"/>
        <v/>
      </c>
      <c r="BN22" s="57" t="str">
        <f t="shared" si="14"/>
        <v/>
      </c>
      <c r="BO22" s="57" t="str">
        <f t="shared" si="14"/>
        <v/>
      </c>
      <c r="BP22" s="57" t="str">
        <f t="shared" si="14"/>
        <v/>
      </c>
      <c r="BQ22" s="57" t="str">
        <f t="shared" si="14"/>
        <v/>
      </c>
      <c r="BR22" s="57" t="str">
        <f t="shared" si="14"/>
        <v/>
      </c>
      <c r="BS22" s="65" t="str">
        <f t="shared" si="14"/>
        <v/>
      </c>
    </row>
    <row r="23" spans="2:71" x14ac:dyDescent="0.25">
      <c r="B23" s="57"/>
      <c r="C23" s="57"/>
      <c r="D23" s="57"/>
      <c r="E23" s="57"/>
      <c r="F23" s="57"/>
      <c r="G23" s="57"/>
      <c r="H23" s="57"/>
      <c r="I23" s="59" t="str">
        <f t="shared" si="1"/>
        <v>WS, 11</v>
      </c>
      <c r="J23" s="57">
        <v>11</v>
      </c>
      <c r="K23" s="64" t="str">
        <f t="shared" ref="K23:T31" si="15">IF(OR(ISBLANK(K$2),ISBLANK($J23)),"",_xlfn.CONCAT(K$2,", ",$J23))</f>
        <v>1, 11</v>
      </c>
      <c r="L23" s="57" t="str">
        <f t="shared" si="15"/>
        <v/>
      </c>
      <c r="M23" s="57" t="str">
        <f t="shared" si="15"/>
        <v/>
      </c>
      <c r="N23" s="57" t="str">
        <f t="shared" si="15"/>
        <v/>
      </c>
      <c r="O23" s="57" t="str">
        <f t="shared" si="15"/>
        <v/>
      </c>
      <c r="P23" s="57" t="str">
        <f t="shared" si="15"/>
        <v>2, 11</v>
      </c>
      <c r="Q23" s="57" t="str">
        <f t="shared" si="15"/>
        <v/>
      </c>
      <c r="R23" s="57" t="str">
        <f t="shared" si="15"/>
        <v/>
      </c>
      <c r="S23" s="57" t="str">
        <f t="shared" si="15"/>
        <v/>
      </c>
      <c r="T23" s="57" t="str">
        <f t="shared" si="15"/>
        <v/>
      </c>
      <c r="U23" s="57" t="str">
        <f t="shared" ref="U23:AD31" si="16">IF(OR(ISBLANK(U$2),ISBLANK($J23)),"",_xlfn.CONCAT(U$2,", ",$J23))</f>
        <v>3, 11</v>
      </c>
      <c r="V23" s="57" t="str">
        <f t="shared" si="16"/>
        <v/>
      </c>
      <c r="W23" s="57" t="str">
        <f t="shared" si="16"/>
        <v/>
      </c>
      <c r="X23" s="57" t="str">
        <f t="shared" si="16"/>
        <v/>
      </c>
      <c r="Y23" s="57" t="str">
        <f t="shared" si="16"/>
        <v/>
      </c>
      <c r="Z23" s="57" t="str">
        <f t="shared" si="16"/>
        <v>4, 11</v>
      </c>
      <c r="AA23" s="57" t="str">
        <f t="shared" si="16"/>
        <v/>
      </c>
      <c r="AB23" s="57" t="str">
        <f t="shared" si="16"/>
        <v/>
      </c>
      <c r="AC23" s="57" t="str">
        <f t="shared" si="16"/>
        <v/>
      </c>
      <c r="AD23" s="57" t="str">
        <f t="shared" si="16"/>
        <v/>
      </c>
      <c r="AE23" s="57" t="str">
        <f t="shared" ref="AE23:AN31" si="17">IF(OR(ISBLANK(AE$2),ISBLANK($J23)),"",_xlfn.CONCAT(AE$2,", ",$J23))</f>
        <v>5, 11</v>
      </c>
      <c r="AF23" s="57" t="str">
        <f t="shared" si="17"/>
        <v/>
      </c>
      <c r="AG23" s="57" t="str">
        <f t="shared" si="17"/>
        <v/>
      </c>
      <c r="AH23" s="57" t="str">
        <f t="shared" si="17"/>
        <v/>
      </c>
      <c r="AI23" s="57" t="str">
        <f t="shared" si="17"/>
        <v/>
      </c>
      <c r="AJ23" s="57" t="str">
        <f t="shared" si="17"/>
        <v>6, 11</v>
      </c>
      <c r="AK23" s="57" t="str">
        <f t="shared" si="17"/>
        <v/>
      </c>
      <c r="AL23" s="57" t="str">
        <f t="shared" si="17"/>
        <v/>
      </c>
      <c r="AM23" s="57" t="str">
        <f t="shared" si="17"/>
        <v/>
      </c>
      <c r="AN23" s="57" t="str">
        <f t="shared" si="17"/>
        <v/>
      </c>
      <c r="AO23" s="57" t="str">
        <f t="shared" ref="AO23:AX31" si="18">IF(OR(ISBLANK(AO$2),ISBLANK($J23)),"",_xlfn.CONCAT(AO$2,", ",$J23))</f>
        <v>7, 11</v>
      </c>
      <c r="AP23" s="57" t="str">
        <f t="shared" si="18"/>
        <v/>
      </c>
      <c r="AQ23" s="57" t="str">
        <f t="shared" si="18"/>
        <v/>
      </c>
      <c r="AR23" s="57" t="str">
        <f t="shared" si="18"/>
        <v/>
      </c>
      <c r="AS23" s="57" t="str">
        <f t="shared" si="18"/>
        <v/>
      </c>
      <c r="AT23" s="57" t="str">
        <f t="shared" si="18"/>
        <v>8, 11</v>
      </c>
      <c r="AU23" s="57" t="str">
        <f t="shared" si="18"/>
        <v/>
      </c>
      <c r="AV23" s="57" t="str">
        <f t="shared" si="18"/>
        <v/>
      </c>
      <c r="AW23" s="57" t="str">
        <f t="shared" si="18"/>
        <v/>
      </c>
      <c r="AX23" s="57" t="str">
        <f t="shared" si="18"/>
        <v/>
      </c>
      <c r="AY23" s="57" t="str">
        <f t="shared" ref="AY23:BH31" si="19">IF(OR(ISBLANK(AY$2),ISBLANK($J23)),"",_xlfn.CONCAT(AY$2,", ",$J23))</f>
        <v>9, 11</v>
      </c>
      <c r="AZ23" s="57" t="str">
        <f t="shared" si="19"/>
        <v/>
      </c>
      <c r="BA23" s="57" t="str">
        <f t="shared" si="19"/>
        <v/>
      </c>
      <c r="BB23" s="57" t="str">
        <f t="shared" si="19"/>
        <v/>
      </c>
      <c r="BC23" s="57" t="str">
        <f t="shared" si="19"/>
        <v/>
      </c>
      <c r="BD23" s="57" t="str">
        <f t="shared" si="19"/>
        <v>10, 11</v>
      </c>
      <c r="BE23" s="57" t="str">
        <f t="shared" si="19"/>
        <v/>
      </c>
      <c r="BF23" s="57" t="str">
        <f t="shared" si="19"/>
        <v/>
      </c>
      <c r="BG23" s="57" t="str">
        <f t="shared" si="19"/>
        <v/>
      </c>
      <c r="BH23" s="57" t="str">
        <f t="shared" si="19"/>
        <v/>
      </c>
      <c r="BI23" s="57" t="str">
        <f t="shared" ref="BI23:BS31" si="20">IF(OR(ISBLANK(BI$2),ISBLANK($J23)),"",_xlfn.CONCAT(BI$2,", ",$J23))</f>
        <v>11, 11</v>
      </c>
      <c r="BJ23" s="57" t="str">
        <f t="shared" si="20"/>
        <v/>
      </c>
      <c r="BK23" s="57" t="str">
        <f t="shared" si="20"/>
        <v/>
      </c>
      <c r="BL23" s="57" t="str">
        <f t="shared" si="20"/>
        <v/>
      </c>
      <c r="BM23" s="57" t="str">
        <f t="shared" si="20"/>
        <v/>
      </c>
      <c r="BN23" s="57" t="str">
        <f t="shared" si="20"/>
        <v>12, 11</v>
      </c>
      <c r="BO23" s="57" t="str">
        <f t="shared" si="20"/>
        <v/>
      </c>
      <c r="BP23" s="57" t="str">
        <f t="shared" si="20"/>
        <v/>
      </c>
      <c r="BQ23" s="57" t="str">
        <f t="shared" si="20"/>
        <v/>
      </c>
      <c r="BR23" s="57" t="str">
        <f t="shared" si="20"/>
        <v/>
      </c>
      <c r="BS23" s="65" t="str">
        <f t="shared" si="20"/>
        <v>13, 11</v>
      </c>
    </row>
    <row r="24" spans="2:71" x14ac:dyDescent="0.25">
      <c r="B24" s="57"/>
      <c r="C24" s="57"/>
      <c r="D24" s="57"/>
      <c r="E24" s="57"/>
      <c r="F24" s="57"/>
      <c r="G24" s="57"/>
      <c r="H24" s="57"/>
      <c r="I24" s="59" t="str">
        <f t="shared" si="1"/>
        <v/>
      </c>
      <c r="J24" s="57"/>
      <c r="K24" s="64" t="str">
        <f t="shared" si="15"/>
        <v/>
      </c>
      <c r="L24" s="57" t="str">
        <f t="shared" si="15"/>
        <v/>
      </c>
      <c r="M24" s="57" t="str">
        <f t="shared" si="15"/>
        <v/>
      </c>
      <c r="N24" s="57" t="str">
        <f t="shared" si="15"/>
        <v/>
      </c>
      <c r="O24" s="57" t="str">
        <f t="shared" si="15"/>
        <v/>
      </c>
      <c r="P24" s="57" t="str">
        <f t="shared" si="15"/>
        <v/>
      </c>
      <c r="Q24" s="57" t="str">
        <f t="shared" si="15"/>
        <v/>
      </c>
      <c r="R24" s="57" t="str">
        <f t="shared" si="15"/>
        <v/>
      </c>
      <c r="S24" s="57" t="str">
        <f t="shared" si="15"/>
        <v/>
      </c>
      <c r="T24" s="57" t="str">
        <f t="shared" si="15"/>
        <v/>
      </c>
      <c r="U24" s="57" t="str">
        <f t="shared" si="16"/>
        <v/>
      </c>
      <c r="V24" s="57" t="str">
        <f t="shared" si="16"/>
        <v/>
      </c>
      <c r="W24" s="57" t="str">
        <f t="shared" si="16"/>
        <v/>
      </c>
      <c r="X24" s="57" t="str">
        <f t="shared" si="16"/>
        <v/>
      </c>
      <c r="Y24" s="57" t="str">
        <f t="shared" si="16"/>
        <v/>
      </c>
      <c r="Z24" s="57" t="str">
        <f t="shared" si="16"/>
        <v/>
      </c>
      <c r="AA24" s="57" t="str">
        <f t="shared" si="16"/>
        <v/>
      </c>
      <c r="AB24" s="57" t="str">
        <f t="shared" si="16"/>
        <v/>
      </c>
      <c r="AC24" s="57" t="str">
        <f t="shared" si="16"/>
        <v/>
      </c>
      <c r="AD24" s="57" t="str">
        <f t="shared" si="16"/>
        <v/>
      </c>
      <c r="AE24" s="57" t="str">
        <f t="shared" si="17"/>
        <v/>
      </c>
      <c r="AF24" s="57" t="str">
        <f t="shared" si="17"/>
        <v/>
      </c>
      <c r="AG24" s="57" t="str">
        <f t="shared" si="17"/>
        <v/>
      </c>
      <c r="AH24" s="57" t="str">
        <f t="shared" si="17"/>
        <v/>
      </c>
      <c r="AI24" s="57" t="str">
        <f t="shared" si="17"/>
        <v/>
      </c>
      <c r="AJ24" s="57" t="str">
        <f t="shared" si="17"/>
        <v/>
      </c>
      <c r="AK24" s="57" t="str">
        <f t="shared" si="17"/>
        <v/>
      </c>
      <c r="AL24" s="57" t="str">
        <f t="shared" si="17"/>
        <v/>
      </c>
      <c r="AM24" s="57" t="str">
        <f t="shared" si="17"/>
        <v/>
      </c>
      <c r="AN24" s="57" t="str">
        <f t="shared" si="17"/>
        <v/>
      </c>
      <c r="AO24" s="57" t="str">
        <f t="shared" si="18"/>
        <v/>
      </c>
      <c r="AP24" s="57" t="str">
        <f t="shared" si="18"/>
        <v/>
      </c>
      <c r="AQ24" s="57" t="str">
        <f t="shared" si="18"/>
        <v/>
      </c>
      <c r="AR24" s="57" t="str">
        <f t="shared" si="18"/>
        <v/>
      </c>
      <c r="AS24" s="57" t="str">
        <f t="shared" si="18"/>
        <v/>
      </c>
      <c r="AT24" s="57" t="str">
        <f t="shared" si="18"/>
        <v/>
      </c>
      <c r="AU24" s="57" t="str">
        <f t="shared" si="18"/>
        <v/>
      </c>
      <c r="AV24" s="57" t="str">
        <f t="shared" si="18"/>
        <v/>
      </c>
      <c r="AW24" s="57" t="str">
        <f t="shared" si="18"/>
        <v/>
      </c>
      <c r="AX24" s="57" t="str">
        <f t="shared" si="18"/>
        <v/>
      </c>
      <c r="AY24" s="57" t="str">
        <f t="shared" si="19"/>
        <v/>
      </c>
      <c r="AZ24" s="57" t="str">
        <f t="shared" si="19"/>
        <v/>
      </c>
      <c r="BA24" s="57" t="str">
        <f t="shared" si="19"/>
        <v/>
      </c>
      <c r="BB24" s="57" t="str">
        <f t="shared" si="19"/>
        <v/>
      </c>
      <c r="BC24" s="57" t="str">
        <f t="shared" si="19"/>
        <v/>
      </c>
      <c r="BD24" s="57" t="str">
        <f t="shared" si="19"/>
        <v/>
      </c>
      <c r="BE24" s="57" t="str">
        <f t="shared" si="19"/>
        <v/>
      </c>
      <c r="BF24" s="57" t="str">
        <f t="shared" si="19"/>
        <v/>
      </c>
      <c r="BG24" s="57" t="str">
        <f t="shared" si="19"/>
        <v/>
      </c>
      <c r="BH24" s="57" t="str">
        <f t="shared" si="19"/>
        <v/>
      </c>
      <c r="BI24" s="57" t="str">
        <f t="shared" si="20"/>
        <v/>
      </c>
      <c r="BJ24" s="57" t="str">
        <f t="shared" si="20"/>
        <v/>
      </c>
      <c r="BK24" s="57" t="str">
        <f t="shared" si="20"/>
        <v/>
      </c>
      <c r="BL24" s="57" t="str">
        <f t="shared" si="20"/>
        <v/>
      </c>
      <c r="BM24" s="57" t="str">
        <f t="shared" si="20"/>
        <v/>
      </c>
      <c r="BN24" s="57" t="str">
        <f t="shared" si="20"/>
        <v/>
      </c>
      <c r="BO24" s="57" t="str">
        <f t="shared" si="20"/>
        <v/>
      </c>
      <c r="BP24" s="57" t="str">
        <f t="shared" si="20"/>
        <v/>
      </c>
      <c r="BQ24" s="57" t="str">
        <f t="shared" si="20"/>
        <v/>
      </c>
      <c r="BR24" s="57" t="str">
        <f t="shared" si="20"/>
        <v/>
      </c>
      <c r="BS24" s="65" t="str">
        <f t="shared" si="20"/>
        <v/>
      </c>
    </row>
    <row r="25" spans="2:71" x14ac:dyDescent="0.25">
      <c r="B25" s="57"/>
      <c r="C25" s="57"/>
      <c r="D25" s="57"/>
      <c r="E25" s="57"/>
      <c r="F25" s="57"/>
      <c r="G25" s="57"/>
      <c r="H25" s="57"/>
      <c r="I25" s="59" t="str">
        <f t="shared" si="1"/>
        <v>WS, 12</v>
      </c>
      <c r="J25" s="57">
        <v>12</v>
      </c>
      <c r="K25" s="64" t="str">
        <f t="shared" si="15"/>
        <v>1, 12</v>
      </c>
      <c r="L25" s="57" t="str">
        <f t="shared" si="15"/>
        <v/>
      </c>
      <c r="M25" s="57" t="str">
        <f t="shared" si="15"/>
        <v/>
      </c>
      <c r="N25" s="57" t="str">
        <f t="shared" si="15"/>
        <v/>
      </c>
      <c r="O25" s="57" t="str">
        <f t="shared" si="15"/>
        <v/>
      </c>
      <c r="P25" s="57" t="str">
        <f t="shared" si="15"/>
        <v>2, 12</v>
      </c>
      <c r="Q25" s="57" t="str">
        <f t="shared" si="15"/>
        <v/>
      </c>
      <c r="R25" s="57" t="str">
        <f t="shared" si="15"/>
        <v/>
      </c>
      <c r="S25" s="57" t="str">
        <f t="shared" si="15"/>
        <v/>
      </c>
      <c r="T25" s="57" t="str">
        <f t="shared" si="15"/>
        <v/>
      </c>
      <c r="U25" s="57" t="str">
        <f t="shared" si="16"/>
        <v>3, 12</v>
      </c>
      <c r="V25" s="57" t="str">
        <f t="shared" si="16"/>
        <v/>
      </c>
      <c r="W25" s="57" t="str">
        <f t="shared" si="16"/>
        <v/>
      </c>
      <c r="X25" s="57" t="str">
        <f t="shared" si="16"/>
        <v/>
      </c>
      <c r="Y25" s="57" t="str">
        <f t="shared" si="16"/>
        <v/>
      </c>
      <c r="Z25" s="57" t="str">
        <f t="shared" si="16"/>
        <v>4, 12</v>
      </c>
      <c r="AA25" s="57" t="str">
        <f t="shared" si="16"/>
        <v/>
      </c>
      <c r="AB25" s="57" t="str">
        <f t="shared" si="16"/>
        <v/>
      </c>
      <c r="AC25" s="57" t="str">
        <f t="shared" si="16"/>
        <v/>
      </c>
      <c r="AD25" s="57" t="str">
        <f t="shared" si="16"/>
        <v/>
      </c>
      <c r="AE25" s="57" t="str">
        <f t="shared" si="17"/>
        <v>5, 12</v>
      </c>
      <c r="AF25" s="57" t="str">
        <f t="shared" si="17"/>
        <v/>
      </c>
      <c r="AG25" s="57" t="str">
        <f t="shared" si="17"/>
        <v/>
      </c>
      <c r="AH25" s="57" t="str">
        <f t="shared" si="17"/>
        <v/>
      </c>
      <c r="AI25" s="57" t="str">
        <f t="shared" si="17"/>
        <v/>
      </c>
      <c r="AJ25" s="57" t="str">
        <f t="shared" si="17"/>
        <v>6, 12</v>
      </c>
      <c r="AK25" s="57" t="str">
        <f t="shared" si="17"/>
        <v/>
      </c>
      <c r="AL25" s="57" t="str">
        <f t="shared" si="17"/>
        <v/>
      </c>
      <c r="AM25" s="57" t="str">
        <f t="shared" si="17"/>
        <v/>
      </c>
      <c r="AN25" s="57" t="str">
        <f t="shared" si="17"/>
        <v/>
      </c>
      <c r="AO25" s="57" t="str">
        <f t="shared" si="18"/>
        <v>7, 12</v>
      </c>
      <c r="AP25" s="57" t="str">
        <f t="shared" si="18"/>
        <v/>
      </c>
      <c r="AQ25" s="57" t="str">
        <f t="shared" si="18"/>
        <v/>
      </c>
      <c r="AR25" s="57" t="str">
        <f t="shared" si="18"/>
        <v/>
      </c>
      <c r="AS25" s="57" t="str">
        <f t="shared" si="18"/>
        <v/>
      </c>
      <c r="AT25" s="57" t="str">
        <f t="shared" si="18"/>
        <v>8, 12</v>
      </c>
      <c r="AU25" s="57" t="str">
        <f t="shared" si="18"/>
        <v/>
      </c>
      <c r="AV25" s="57" t="str">
        <f t="shared" si="18"/>
        <v/>
      </c>
      <c r="AW25" s="57" t="str">
        <f t="shared" si="18"/>
        <v/>
      </c>
      <c r="AX25" s="57" t="str">
        <f t="shared" si="18"/>
        <v/>
      </c>
      <c r="AY25" s="57" t="str">
        <f t="shared" si="19"/>
        <v>9, 12</v>
      </c>
      <c r="AZ25" s="57" t="str">
        <f t="shared" si="19"/>
        <v/>
      </c>
      <c r="BA25" s="57" t="str">
        <f t="shared" si="19"/>
        <v/>
      </c>
      <c r="BB25" s="57" t="str">
        <f t="shared" si="19"/>
        <v/>
      </c>
      <c r="BC25" s="57" t="str">
        <f t="shared" si="19"/>
        <v/>
      </c>
      <c r="BD25" s="57" t="str">
        <f t="shared" si="19"/>
        <v>10, 12</v>
      </c>
      <c r="BE25" s="57" t="str">
        <f t="shared" si="19"/>
        <v/>
      </c>
      <c r="BF25" s="57" t="str">
        <f t="shared" si="19"/>
        <v/>
      </c>
      <c r="BG25" s="57" t="str">
        <f t="shared" si="19"/>
        <v/>
      </c>
      <c r="BH25" s="57" t="str">
        <f t="shared" si="19"/>
        <v/>
      </c>
      <c r="BI25" s="57" t="str">
        <f t="shared" si="20"/>
        <v>11, 12</v>
      </c>
      <c r="BJ25" s="57" t="str">
        <f t="shared" si="20"/>
        <v/>
      </c>
      <c r="BK25" s="57" t="str">
        <f t="shared" si="20"/>
        <v/>
      </c>
      <c r="BL25" s="57" t="str">
        <f t="shared" si="20"/>
        <v/>
      </c>
      <c r="BM25" s="57" t="str">
        <f t="shared" si="20"/>
        <v/>
      </c>
      <c r="BN25" s="57" t="str">
        <f t="shared" si="20"/>
        <v>12, 12</v>
      </c>
      <c r="BO25" s="57" t="str">
        <f t="shared" si="20"/>
        <v/>
      </c>
      <c r="BP25" s="57" t="str">
        <f t="shared" si="20"/>
        <v/>
      </c>
      <c r="BQ25" s="57" t="str">
        <f t="shared" si="20"/>
        <v/>
      </c>
      <c r="BR25" s="57" t="str">
        <f t="shared" si="20"/>
        <v/>
      </c>
      <c r="BS25" s="65" t="str">
        <f t="shared" si="20"/>
        <v>13, 12</v>
      </c>
    </row>
    <row r="26" spans="2:71" x14ac:dyDescent="0.25">
      <c r="B26" s="57"/>
      <c r="C26" s="57"/>
      <c r="D26" s="57"/>
      <c r="E26" s="57"/>
      <c r="F26" s="57"/>
      <c r="G26" s="57"/>
      <c r="H26" s="57"/>
      <c r="I26" s="59" t="str">
        <f t="shared" si="1"/>
        <v/>
      </c>
      <c r="J26" s="57"/>
      <c r="K26" s="64" t="str">
        <f t="shared" si="15"/>
        <v/>
      </c>
      <c r="L26" s="57" t="str">
        <f t="shared" si="15"/>
        <v/>
      </c>
      <c r="M26" s="57" t="str">
        <f t="shared" si="15"/>
        <v/>
      </c>
      <c r="N26" s="57" t="str">
        <f t="shared" si="15"/>
        <v/>
      </c>
      <c r="O26" s="57" t="str">
        <f t="shared" si="15"/>
        <v/>
      </c>
      <c r="P26" s="57" t="str">
        <f t="shared" si="15"/>
        <v/>
      </c>
      <c r="Q26" s="57" t="str">
        <f t="shared" si="15"/>
        <v/>
      </c>
      <c r="R26" s="57" t="str">
        <f t="shared" si="15"/>
        <v/>
      </c>
      <c r="S26" s="57" t="str">
        <f t="shared" si="15"/>
        <v/>
      </c>
      <c r="T26" s="57" t="str">
        <f t="shared" si="15"/>
        <v/>
      </c>
      <c r="U26" s="57" t="str">
        <f t="shared" si="16"/>
        <v/>
      </c>
      <c r="V26" s="57" t="str">
        <f t="shared" si="16"/>
        <v/>
      </c>
      <c r="W26" s="57" t="str">
        <f t="shared" si="16"/>
        <v/>
      </c>
      <c r="X26" s="57" t="str">
        <f t="shared" si="16"/>
        <v/>
      </c>
      <c r="Y26" s="57" t="str">
        <f t="shared" si="16"/>
        <v/>
      </c>
      <c r="Z26" s="57" t="str">
        <f t="shared" si="16"/>
        <v/>
      </c>
      <c r="AA26" s="57" t="str">
        <f t="shared" si="16"/>
        <v/>
      </c>
      <c r="AB26" s="57" t="str">
        <f t="shared" si="16"/>
        <v/>
      </c>
      <c r="AC26" s="57" t="str">
        <f t="shared" si="16"/>
        <v/>
      </c>
      <c r="AD26" s="57" t="str">
        <f t="shared" si="16"/>
        <v/>
      </c>
      <c r="AE26" s="57" t="str">
        <f t="shared" si="17"/>
        <v/>
      </c>
      <c r="AF26" s="57" t="str">
        <f t="shared" si="17"/>
        <v/>
      </c>
      <c r="AG26" s="57" t="str">
        <f t="shared" si="17"/>
        <v/>
      </c>
      <c r="AH26" s="57" t="str">
        <f t="shared" si="17"/>
        <v/>
      </c>
      <c r="AI26" s="57" t="str">
        <f t="shared" si="17"/>
        <v/>
      </c>
      <c r="AJ26" s="57" t="str">
        <f t="shared" si="17"/>
        <v/>
      </c>
      <c r="AK26" s="57" t="str">
        <f t="shared" si="17"/>
        <v/>
      </c>
      <c r="AL26" s="57" t="str">
        <f t="shared" si="17"/>
        <v/>
      </c>
      <c r="AM26" s="57" t="str">
        <f t="shared" si="17"/>
        <v/>
      </c>
      <c r="AN26" s="57" t="str">
        <f t="shared" si="17"/>
        <v/>
      </c>
      <c r="AO26" s="57" t="str">
        <f t="shared" si="18"/>
        <v/>
      </c>
      <c r="AP26" s="57" t="str">
        <f t="shared" si="18"/>
        <v/>
      </c>
      <c r="AQ26" s="57" t="str">
        <f t="shared" si="18"/>
        <v/>
      </c>
      <c r="AR26" s="57" t="str">
        <f t="shared" si="18"/>
        <v/>
      </c>
      <c r="AS26" s="57" t="str">
        <f t="shared" si="18"/>
        <v/>
      </c>
      <c r="AT26" s="57" t="str">
        <f t="shared" si="18"/>
        <v/>
      </c>
      <c r="AU26" s="57" t="str">
        <f t="shared" si="18"/>
        <v/>
      </c>
      <c r="AV26" s="57" t="str">
        <f t="shared" si="18"/>
        <v/>
      </c>
      <c r="AW26" s="57" t="str">
        <f t="shared" si="18"/>
        <v/>
      </c>
      <c r="AX26" s="57" t="str">
        <f t="shared" si="18"/>
        <v/>
      </c>
      <c r="AY26" s="57" t="str">
        <f t="shared" si="19"/>
        <v/>
      </c>
      <c r="AZ26" s="57" t="str">
        <f t="shared" si="19"/>
        <v/>
      </c>
      <c r="BA26" s="57" t="str">
        <f t="shared" si="19"/>
        <v/>
      </c>
      <c r="BB26" s="57" t="str">
        <f t="shared" si="19"/>
        <v/>
      </c>
      <c r="BC26" s="57" t="str">
        <f t="shared" si="19"/>
        <v/>
      </c>
      <c r="BD26" s="57" t="str">
        <f t="shared" si="19"/>
        <v/>
      </c>
      <c r="BE26" s="57" t="str">
        <f t="shared" si="19"/>
        <v/>
      </c>
      <c r="BF26" s="57" t="str">
        <f t="shared" si="19"/>
        <v/>
      </c>
      <c r="BG26" s="57" t="str">
        <f t="shared" si="19"/>
        <v/>
      </c>
      <c r="BH26" s="57" t="str">
        <f t="shared" si="19"/>
        <v/>
      </c>
      <c r="BI26" s="57" t="str">
        <f t="shared" si="20"/>
        <v/>
      </c>
      <c r="BJ26" s="57" t="str">
        <f t="shared" si="20"/>
        <v/>
      </c>
      <c r="BK26" s="57" t="str">
        <f t="shared" si="20"/>
        <v/>
      </c>
      <c r="BL26" s="57" t="str">
        <f t="shared" si="20"/>
        <v/>
      </c>
      <c r="BM26" s="57" t="str">
        <f t="shared" si="20"/>
        <v/>
      </c>
      <c r="BN26" s="57" t="str">
        <f t="shared" si="20"/>
        <v/>
      </c>
      <c r="BO26" s="57" t="str">
        <f t="shared" si="20"/>
        <v/>
      </c>
      <c r="BP26" s="57" t="str">
        <f t="shared" si="20"/>
        <v/>
      </c>
      <c r="BQ26" s="57" t="str">
        <f t="shared" si="20"/>
        <v/>
      </c>
      <c r="BR26" s="57" t="str">
        <f t="shared" si="20"/>
        <v/>
      </c>
      <c r="BS26" s="65" t="str">
        <f t="shared" si="20"/>
        <v/>
      </c>
    </row>
    <row r="27" spans="2:71" x14ac:dyDescent="0.25">
      <c r="B27" s="57"/>
      <c r="C27" s="57"/>
      <c r="D27" s="57"/>
      <c r="E27" s="57"/>
      <c r="F27" s="57"/>
      <c r="G27" s="57"/>
      <c r="H27" s="57"/>
      <c r="I27" s="59" t="str">
        <f t="shared" si="1"/>
        <v>WS, 13</v>
      </c>
      <c r="J27" s="57">
        <v>13</v>
      </c>
      <c r="K27" s="64" t="str">
        <f t="shared" si="15"/>
        <v>1, 13</v>
      </c>
      <c r="L27" s="57" t="str">
        <f t="shared" si="15"/>
        <v/>
      </c>
      <c r="M27" s="57" t="str">
        <f t="shared" si="15"/>
        <v/>
      </c>
      <c r="N27" s="57" t="str">
        <f t="shared" si="15"/>
        <v/>
      </c>
      <c r="O27" s="57" t="str">
        <f t="shared" si="15"/>
        <v/>
      </c>
      <c r="P27" s="57" t="str">
        <f t="shared" si="15"/>
        <v>2, 13</v>
      </c>
      <c r="Q27" s="57" t="str">
        <f t="shared" si="15"/>
        <v/>
      </c>
      <c r="R27" s="57" t="str">
        <f t="shared" si="15"/>
        <v/>
      </c>
      <c r="S27" s="57" t="str">
        <f t="shared" si="15"/>
        <v/>
      </c>
      <c r="T27" s="57" t="str">
        <f t="shared" si="15"/>
        <v/>
      </c>
      <c r="U27" s="57" t="str">
        <f t="shared" si="16"/>
        <v>3, 13</v>
      </c>
      <c r="V27" s="57" t="str">
        <f t="shared" si="16"/>
        <v/>
      </c>
      <c r="W27" s="57" t="str">
        <f t="shared" si="16"/>
        <v/>
      </c>
      <c r="X27" s="57" t="str">
        <f t="shared" si="16"/>
        <v/>
      </c>
      <c r="Y27" s="57" t="str">
        <f t="shared" si="16"/>
        <v/>
      </c>
      <c r="Z27" s="57" t="str">
        <f t="shared" si="16"/>
        <v>4, 13</v>
      </c>
      <c r="AA27" s="57" t="str">
        <f t="shared" si="16"/>
        <v/>
      </c>
      <c r="AB27" s="57" t="str">
        <f t="shared" si="16"/>
        <v/>
      </c>
      <c r="AC27" s="57" t="str">
        <f t="shared" si="16"/>
        <v/>
      </c>
      <c r="AD27" s="57" t="str">
        <f t="shared" si="16"/>
        <v/>
      </c>
      <c r="AE27" s="57" t="str">
        <f t="shared" si="17"/>
        <v>5, 13</v>
      </c>
      <c r="AF27" s="57" t="str">
        <f t="shared" si="17"/>
        <v/>
      </c>
      <c r="AG27" s="57" t="str">
        <f t="shared" si="17"/>
        <v/>
      </c>
      <c r="AH27" s="57" t="str">
        <f t="shared" si="17"/>
        <v/>
      </c>
      <c r="AI27" s="57" t="str">
        <f t="shared" si="17"/>
        <v/>
      </c>
      <c r="AJ27" s="57" t="str">
        <f t="shared" si="17"/>
        <v>6, 13</v>
      </c>
      <c r="AK27" s="57" t="str">
        <f t="shared" si="17"/>
        <v/>
      </c>
      <c r="AL27" s="57" t="str">
        <f t="shared" si="17"/>
        <v/>
      </c>
      <c r="AM27" s="57" t="str">
        <f t="shared" si="17"/>
        <v/>
      </c>
      <c r="AN27" s="57" t="str">
        <f t="shared" si="17"/>
        <v/>
      </c>
      <c r="AO27" s="57" t="str">
        <f t="shared" si="18"/>
        <v>7, 13</v>
      </c>
      <c r="AP27" s="57" t="str">
        <f t="shared" si="18"/>
        <v/>
      </c>
      <c r="AQ27" s="57" t="str">
        <f t="shared" si="18"/>
        <v/>
      </c>
      <c r="AR27" s="57" t="str">
        <f t="shared" si="18"/>
        <v/>
      </c>
      <c r="AS27" s="57" t="str">
        <f t="shared" si="18"/>
        <v/>
      </c>
      <c r="AT27" s="57" t="str">
        <f t="shared" si="18"/>
        <v>8, 13</v>
      </c>
      <c r="AU27" s="57" t="str">
        <f t="shared" si="18"/>
        <v/>
      </c>
      <c r="AV27" s="57" t="str">
        <f t="shared" si="18"/>
        <v/>
      </c>
      <c r="AW27" s="57" t="str">
        <f t="shared" si="18"/>
        <v/>
      </c>
      <c r="AX27" s="57" t="str">
        <f t="shared" si="18"/>
        <v/>
      </c>
      <c r="AY27" s="57" t="str">
        <f t="shared" si="19"/>
        <v>9, 13</v>
      </c>
      <c r="AZ27" s="57" t="str">
        <f t="shared" si="19"/>
        <v/>
      </c>
      <c r="BA27" s="57" t="str">
        <f t="shared" si="19"/>
        <v/>
      </c>
      <c r="BB27" s="57" t="str">
        <f t="shared" si="19"/>
        <v/>
      </c>
      <c r="BC27" s="57" t="str">
        <f t="shared" si="19"/>
        <v/>
      </c>
      <c r="BD27" s="57" t="str">
        <f t="shared" si="19"/>
        <v>10, 13</v>
      </c>
      <c r="BE27" s="57" t="str">
        <f t="shared" si="19"/>
        <v/>
      </c>
      <c r="BF27" s="57" t="str">
        <f t="shared" si="19"/>
        <v/>
      </c>
      <c r="BG27" s="57" t="str">
        <f t="shared" si="19"/>
        <v/>
      </c>
      <c r="BH27" s="57" t="str">
        <f t="shared" si="19"/>
        <v/>
      </c>
      <c r="BI27" s="57" t="str">
        <f t="shared" si="20"/>
        <v>11, 13</v>
      </c>
      <c r="BJ27" s="57" t="str">
        <f t="shared" si="20"/>
        <v/>
      </c>
      <c r="BK27" s="57" t="str">
        <f t="shared" si="20"/>
        <v/>
      </c>
      <c r="BL27" s="57" t="str">
        <f t="shared" si="20"/>
        <v/>
      </c>
      <c r="BM27" s="57" t="str">
        <f t="shared" si="20"/>
        <v/>
      </c>
      <c r="BN27" s="57" t="str">
        <f t="shared" si="20"/>
        <v>12, 13</v>
      </c>
      <c r="BO27" s="57" t="str">
        <f t="shared" si="20"/>
        <v/>
      </c>
      <c r="BP27" s="57" t="str">
        <f t="shared" si="20"/>
        <v/>
      </c>
      <c r="BQ27" s="57" t="str">
        <f t="shared" si="20"/>
        <v/>
      </c>
      <c r="BR27" s="57" t="str">
        <f t="shared" si="20"/>
        <v/>
      </c>
      <c r="BS27" s="65" t="str">
        <f t="shared" si="20"/>
        <v>13, 13</v>
      </c>
    </row>
    <row r="28" spans="2:71" x14ac:dyDescent="0.25">
      <c r="B28" s="57"/>
      <c r="C28" s="57"/>
      <c r="D28" s="57"/>
      <c r="E28" s="57"/>
      <c r="F28" s="57"/>
      <c r="G28" s="57"/>
      <c r="H28" s="57"/>
      <c r="I28" s="59" t="str">
        <f t="shared" si="1"/>
        <v/>
      </c>
      <c r="J28" s="57"/>
      <c r="K28" s="64" t="str">
        <f t="shared" si="15"/>
        <v/>
      </c>
      <c r="L28" s="57" t="str">
        <f t="shared" si="15"/>
        <v/>
      </c>
      <c r="M28" s="57" t="str">
        <f t="shared" si="15"/>
        <v/>
      </c>
      <c r="N28" s="57" t="str">
        <f t="shared" si="15"/>
        <v/>
      </c>
      <c r="O28" s="57" t="str">
        <f t="shared" si="15"/>
        <v/>
      </c>
      <c r="P28" s="57" t="str">
        <f t="shared" si="15"/>
        <v/>
      </c>
      <c r="Q28" s="57" t="str">
        <f t="shared" si="15"/>
        <v/>
      </c>
      <c r="R28" s="57" t="str">
        <f t="shared" si="15"/>
        <v/>
      </c>
      <c r="S28" s="57" t="str">
        <f t="shared" si="15"/>
        <v/>
      </c>
      <c r="T28" s="57" t="str">
        <f t="shared" si="15"/>
        <v/>
      </c>
      <c r="U28" s="57" t="str">
        <f t="shared" si="16"/>
        <v/>
      </c>
      <c r="V28" s="57" t="str">
        <f t="shared" si="16"/>
        <v/>
      </c>
      <c r="W28" s="57" t="str">
        <f t="shared" si="16"/>
        <v/>
      </c>
      <c r="X28" s="57" t="str">
        <f t="shared" si="16"/>
        <v/>
      </c>
      <c r="Y28" s="57" t="str">
        <f t="shared" si="16"/>
        <v/>
      </c>
      <c r="Z28" s="57" t="str">
        <f t="shared" si="16"/>
        <v/>
      </c>
      <c r="AA28" s="57" t="str">
        <f t="shared" si="16"/>
        <v/>
      </c>
      <c r="AB28" s="57" t="str">
        <f t="shared" si="16"/>
        <v/>
      </c>
      <c r="AC28" s="57" t="str">
        <f t="shared" si="16"/>
        <v/>
      </c>
      <c r="AD28" s="57" t="str">
        <f t="shared" si="16"/>
        <v/>
      </c>
      <c r="AE28" s="57" t="str">
        <f t="shared" si="17"/>
        <v/>
      </c>
      <c r="AF28" s="57" t="str">
        <f t="shared" si="17"/>
        <v/>
      </c>
      <c r="AG28" s="57" t="str">
        <f t="shared" si="17"/>
        <v/>
      </c>
      <c r="AH28" s="57" t="str">
        <f t="shared" si="17"/>
        <v/>
      </c>
      <c r="AI28" s="57" t="str">
        <f t="shared" si="17"/>
        <v/>
      </c>
      <c r="AJ28" s="57" t="str">
        <f t="shared" si="17"/>
        <v/>
      </c>
      <c r="AK28" s="57" t="str">
        <f t="shared" si="17"/>
        <v/>
      </c>
      <c r="AL28" s="57" t="str">
        <f t="shared" si="17"/>
        <v/>
      </c>
      <c r="AM28" s="57" t="str">
        <f t="shared" si="17"/>
        <v/>
      </c>
      <c r="AN28" s="57" t="str">
        <f t="shared" si="17"/>
        <v/>
      </c>
      <c r="AO28" s="57" t="str">
        <f t="shared" si="18"/>
        <v/>
      </c>
      <c r="AP28" s="57" t="str">
        <f t="shared" si="18"/>
        <v/>
      </c>
      <c r="AQ28" s="57" t="str">
        <f t="shared" si="18"/>
        <v/>
      </c>
      <c r="AR28" s="57" t="str">
        <f t="shared" si="18"/>
        <v/>
      </c>
      <c r="AS28" s="57" t="str">
        <f t="shared" si="18"/>
        <v/>
      </c>
      <c r="AT28" s="57" t="str">
        <f t="shared" si="18"/>
        <v/>
      </c>
      <c r="AU28" s="57" t="str">
        <f t="shared" si="18"/>
        <v/>
      </c>
      <c r="AV28" s="57" t="str">
        <f t="shared" si="18"/>
        <v/>
      </c>
      <c r="AW28" s="57" t="str">
        <f t="shared" si="18"/>
        <v/>
      </c>
      <c r="AX28" s="57" t="str">
        <f t="shared" si="18"/>
        <v/>
      </c>
      <c r="AY28" s="57" t="str">
        <f t="shared" si="19"/>
        <v/>
      </c>
      <c r="AZ28" s="57" t="str">
        <f t="shared" si="19"/>
        <v/>
      </c>
      <c r="BA28" s="57" t="str">
        <f t="shared" si="19"/>
        <v/>
      </c>
      <c r="BB28" s="57" t="str">
        <f t="shared" si="19"/>
        <v/>
      </c>
      <c r="BC28" s="57" t="str">
        <f t="shared" si="19"/>
        <v/>
      </c>
      <c r="BD28" s="57" t="str">
        <f t="shared" si="19"/>
        <v/>
      </c>
      <c r="BE28" s="57" t="str">
        <f t="shared" si="19"/>
        <v/>
      </c>
      <c r="BF28" s="57" t="str">
        <f t="shared" si="19"/>
        <v/>
      </c>
      <c r="BG28" s="57" t="str">
        <f t="shared" si="19"/>
        <v/>
      </c>
      <c r="BH28" s="57" t="str">
        <f t="shared" si="19"/>
        <v/>
      </c>
      <c r="BI28" s="57" t="str">
        <f t="shared" si="20"/>
        <v/>
      </c>
      <c r="BJ28" s="57" t="str">
        <f t="shared" si="20"/>
        <v/>
      </c>
      <c r="BK28" s="57" t="str">
        <f t="shared" si="20"/>
        <v/>
      </c>
      <c r="BL28" s="57" t="str">
        <f t="shared" si="20"/>
        <v/>
      </c>
      <c r="BM28" s="57" t="str">
        <f t="shared" si="20"/>
        <v/>
      </c>
      <c r="BN28" s="57" t="str">
        <f t="shared" si="20"/>
        <v/>
      </c>
      <c r="BO28" s="57" t="str">
        <f t="shared" si="20"/>
        <v/>
      </c>
      <c r="BP28" s="57" t="str">
        <f t="shared" si="20"/>
        <v/>
      </c>
      <c r="BQ28" s="57" t="str">
        <f t="shared" si="20"/>
        <v/>
      </c>
      <c r="BR28" s="57" t="str">
        <f t="shared" si="20"/>
        <v/>
      </c>
      <c r="BS28" s="65" t="str">
        <f t="shared" si="20"/>
        <v/>
      </c>
    </row>
    <row r="29" spans="2:71" x14ac:dyDescent="0.25">
      <c r="B29" s="57"/>
      <c r="C29" s="57"/>
      <c r="D29" s="57"/>
      <c r="E29" s="57"/>
      <c r="F29" s="57"/>
      <c r="G29" s="57"/>
      <c r="H29" s="57"/>
      <c r="I29" s="59" t="str">
        <f t="shared" si="1"/>
        <v>WS, 14</v>
      </c>
      <c r="J29" s="57">
        <v>14</v>
      </c>
      <c r="K29" s="64" t="str">
        <f t="shared" si="15"/>
        <v>1, 14</v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  <c r="P29" s="57" t="str">
        <f t="shared" si="15"/>
        <v>2, 14</v>
      </c>
      <c r="Q29" s="57" t="str">
        <f t="shared" si="15"/>
        <v/>
      </c>
      <c r="R29" s="57" t="str">
        <f t="shared" si="15"/>
        <v/>
      </c>
      <c r="S29" s="57" t="str">
        <f t="shared" si="15"/>
        <v/>
      </c>
      <c r="T29" s="57" t="str">
        <f t="shared" si="15"/>
        <v/>
      </c>
      <c r="U29" s="57" t="str">
        <f t="shared" si="16"/>
        <v>3, 14</v>
      </c>
      <c r="V29" s="57" t="str">
        <f t="shared" si="16"/>
        <v/>
      </c>
      <c r="W29" s="57" t="str">
        <f t="shared" si="16"/>
        <v/>
      </c>
      <c r="X29" s="57" t="str">
        <f t="shared" si="16"/>
        <v/>
      </c>
      <c r="Y29" s="57" t="str">
        <f t="shared" si="16"/>
        <v/>
      </c>
      <c r="Z29" s="57" t="str">
        <f t="shared" si="16"/>
        <v>4, 14</v>
      </c>
      <c r="AA29" s="57" t="str">
        <f t="shared" si="16"/>
        <v/>
      </c>
      <c r="AB29" s="57" t="str">
        <f t="shared" si="16"/>
        <v/>
      </c>
      <c r="AC29" s="57" t="str">
        <f t="shared" si="16"/>
        <v/>
      </c>
      <c r="AD29" s="57" t="str">
        <f t="shared" si="16"/>
        <v/>
      </c>
      <c r="AE29" s="57" t="str">
        <f t="shared" si="17"/>
        <v>5, 14</v>
      </c>
      <c r="AF29" s="57" t="str">
        <f t="shared" si="17"/>
        <v/>
      </c>
      <c r="AG29" s="57" t="str">
        <f t="shared" si="17"/>
        <v/>
      </c>
      <c r="AH29" s="57" t="str">
        <f t="shared" si="17"/>
        <v/>
      </c>
      <c r="AI29" s="57" t="str">
        <f t="shared" si="17"/>
        <v/>
      </c>
      <c r="AJ29" s="57" t="str">
        <f t="shared" si="17"/>
        <v>6, 14</v>
      </c>
      <c r="AK29" s="57" t="str">
        <f t="shared" si="17"/>
        <v/>
      </c>
      <c r="AL29" s="57" t="str">
        <f t="shared" si="17"/>
        <v/>
      </c>
      <c r="AM29" s="57" t="str">
        <f t="shared" si="17"/>
        <v/>
      </c>
      <c r="AN29" s="57" t="str">
        <f t="shared" si="17"/>
        <v/>
      </c>
      <c r="AO29" s="57" t="str">
        <f t="shared" si="18"/>
        <v>7, 14</v>
      </c>
      <c r="AP29" s="57" t="str">
        <f t="shared" si="18"/>
        <v/>
      </c>
      <c r="AQ29" s="57" t="str">
        <f t="shared" si="18"/>
        <v/>
      </c>
      <c r="AR29" s="57" t="str">
        <f t="shared" si="18"/>
        <v/>
      </c>
      <c r="AS29" s="57" t="str">
        <f t="shared" si="18"/>
        <v/>
      </c>
      <c r="AT29" s="57" t="str">
        <f t="shared" si="18"/>
        <v>8, 14</v>
      </c>
      <c r="AU29" s="57" t="str">
        <f t="shared" si="18"/>
        <v/>
      </c>
      <c r="AV29" s="57" t="str">
        <f t="shared" si="18"/>
        <v/>
      </c>
      <c r="AW29" s="57" t="str">
        <f t="shared" si="18"/>
        <v/>
      </c>
      <c r="AX29" s="57" t="str">
        <f t="shared" si="18"/>
        <v/>
      </c>
      <c r="AY29" s="57" t="str">
        <f t="shared" si="19"/>
        <v>9, 14</v>
      </c>
      <c r="AZ29" s="57" t="str">
        <f t="shared" si="19"/>
        <v/>
      </c>
      <c r="BA29" s="57" t="str">
        <f t="shared" si="19"/>
        <v/>
      </c>
      <c r="BB29" s="57" t="str">
        <f t="shared" si="19"/>
        <v/>
      </c>
      <c r="BC29" s="57" t="str">
        <f t="shared" si="19"/>
        <v/>
      </c>
      <c r="BD29" s="57" t="str">
        <f t="shared" si="19"/>
        <v>10, 14</v>
      </c>
      <c r="BE29" s="57" t="str">
        <f t="shared" si="19"/>
        <v/>
      </c>
      <c r="BF29" s="57" t="str">
        <f t="shared" si="19"/>
        <v/>
      </c>
      <c r="BG29" s="57" t="str">
        <f t="shared" si="19"/>
        <v/>
      </c>
      <c r="BH29" s="57" t="str">
        <f t="shared" si="19"/>
        <v/>
      </c>
      <c r="BI29" s="57" t="str">
        <f t="shared" si="20"/>
        <v>11, 14</v>
      </c>
      <c r="BJ29" s="57" t="str">
        <f t="shared" si="20"/>
        <v/>
      </c>
      <c r="BK29" s="57" t="str">
        <f t="shared" si="20"/>
        <v/>
      </c>
      <c r="BL29" s="57" t="str">
        <f t="shared" si="20"/>
        <v/>
      </c>
      <c r="BM29" s="57" t="str">
        <f t="shared" si="20"/>
        <v/>
      </c>
      <c r="BN29" s="57" t="str">
        <f t="shared" si="20"/>
        <v>12, 14</v>
      </c>
      <c r="BO29" s="57" t="str">
        <f t="shared" si="20"/>
        <v/>
      </c>
      <c r="BP29" s="57" t="str">
        <f t="shared" si="20"/>
        <v/>
      </c>
      <c r="BQ29" s="57" t="str">
        <f t="shared" si="20"/>
        <v/>
      </c>
      <c r="BR29" s="57" t="str">
        <f t="shared" si="20"/>
        <v/>
      </c>
      <c r="BS29" s="65" t="str">
        <f t="shared" si="20"/>
        <v>13, 14</v>
      </c>
    </row>
    <row r="30" spans="2:71" x14ac:dyDescent="0.25">
      <c r="B30" s="57"/>
      <c r="C30" s="57"/>
      <c r="D30" s="57"/>
      <c r="E30" s="57"/>
      <c r="F30" s="57"/>
      <c r="G30" s="57"/>
      <c r="H30" s="57"/>
      <c r="I30" s="59" t="str">
        <f t="shared" si="1"/>
        <v/>
      </c>
      <c r="J30" s="57"/>
      <c r="K30" s="64" t="str">
        <f t="shared" si="15"/>
        <v/>
      </c>
      <c r="L30" s="57" t="str">
        <f t="shared" si="15"/>
        <v/>
      </c>
      <c r="M30" s="57" t="str">
        <f t="shared" si="15"/>
        <v/>
      </c>
      <c r="N30" s="57" t="str">
        <f t="shared" si="15"/>
        <v/>
      </c>
      <c r="O30" s="57" t="str">
        <f t="shared" si="15"/>
        <v/>
      </c>
      <c r="P30" s="57" t="str">
        <f t="shared" si="15"/>
        <v/>
      </c>
      <c r="Q30" s="57" t="str">
        <f t="shared" si="15"/>
        <v/>
      </c>
      <c r="R30" s="57" t="str">
        <f t="shared" si="15"/>
        <v/>
      </c>
      <c r="S30" s="57" t="str">
        <f t="shared" si="15"/>
        <v/>
      </c>
      <c r="T30" s="57" t="str">
        <f t="shared" si="15"/>
        <v/>
      </c>
      <c r="U30" s="57" t="str">
        <f t="shared" si="16"/>
        <v/>
      </c>
      <c r="V30" s="57" t="str">
        <f t="shared" si="16"/>
        <v/>
      </c>
      <c r="W30" s="57" t="str">
        <f t="shared" si="16"/>
        <v/>
      </c>
      <c r="X30" s="57" t="str">
        <f t="shared" si="16"/>
        <v/>
      </c>
      <c r="Y30" s="57" t="str">
        <f t="shared" si="16"/>
        <v/>
      </c>
      <c r="Z30" s="57" t="str">
        <f t="shared" si="16"/>
        <v/>
      </c>
      <c r="AA30" s="57" t="str">
        <f t="shared" si="16"/>
        <v/>
      </c>
      <c r="AB30" s="57" t="str">
        <f t="shared" si="16"/>
        <v/>
      </c>
      <c r="AC30" s="57" t="str">
        <f t="shared" si="16"/>
        <v/>
      </c>
      <c r="AD30" s="57" t="str">
        <f t="shared" si="16"/>
        <v/>
      </c>
      <c r="AE30" s="57" t="str">
        <f t="shared" si="17"/>
        <v/>
      </c>
      <c r="AF30" s="57" t="str">
        <f t="shared" si="17"/>
        <v/>
      </c>
      <c r="AG30" s="57" t="str">
        <f t="shared" si="17"/>
        <v/>
      </c>
      <c r="AH30" s="57" t="str">
        <f t="shared" si="17"/>
        <v/>
      </c>
      <c r="AI30" s="57" t="str">
        <f t="shared" si="17"/>
        <v/>
      </c>
      <c r="AJ30" s="57" t="str">
        <f t="shared" si="17"/>
        <v/>
      </c>
      <c r="AK30" s="57" t="str">
        <f t="shared" si="17"/>
        <v/>
      </c>
      <c r="AL30" s="57" t="str">
        <f t="shared" si="17"/>
        <v/>
      </c>
      <c r="AM30" s="57" t="str">
        <f t="shared" si="17"/>
        <v/>
      </c>
      <c r="AN30" s="57" t="str">
        <f t="shared" si="17"/>
        <v/>
      </c>
      <c r="AO30" s="57" t="str">
        <f t="shared" si="18"/>
        <v/>
      </c>
      <c r="AP30" s="57" t="str">
        <f t="shared" si="18"/>
        <v/>
      </c>
      <c r="AQ30" s="57" t="str">
        <f t="shared" si="18"/>
        <v/>
      </c>
      <c r="AR30" s="57" t="str">
        <f t="shared" si="18"/>
        <v/>
      </c>
      <c r="AS30" s="57" t="str">
        <f t="shared" si="18"/>
        <v/>
      </c>
      <c r="AT30" s="57" t="str">
        <f t="shared" si="18"/>
        <v/>
      </c>
      <c r="AU30" s="57" t="str">
        <f t="shared" si="18"/>
        <v/>
      </c>
      <c r="AV30" s="57" t="str">
        <f t="shared" si="18"/>
        <v/>
      </c>
      <c r="AW30" s="57" t="str">
        <f t="shared" si="18"/>
        <v/>
      </c>
      <c r="AX30" s="57" t="str">
        <f t="shared" si="18"/>
        <v/>
      </c>
      <c r="AY30" s="57" t="str">
        <f t="shared" si="19"/>
        <v/>
      </c>
      <c r="AZ30" s="57" t="str">
        <f t="shared" si="19"/>
        <v/>
      </c>
      <c r="BA30" s="57" t="str">
        <f t="shared" si="19"/>
        <v/>
      </c>
      <c r="BB30" s="57" t="str">
        <f t="shared" si="19"/>
        <v/>
      </c>
      <c r="BC30" s="57" t="str">
        <f t="shared" si="19"/>
        <v/>
      </c>
      <c r="BD30" s="57" t="str">
        <f t="shared" si="19"/>
        <v/>
      </c>
      <c r="BE30" s="57" t="str">
        <f t="shared" si="19"/>
        <v/>
      </c>
      <c r="BF30" s="57" t="str">
        <f t="shared" si="19"/>
        <v/>
      </c>
      <c r="BG30" s="57" t="str">
        <f t="shared" si="19"/>
        <v/>
      </c>
      <c r="BH30" s="57" t="str">
        <f t="shared" si="19"/>
        <v/>
      </c>
      <c r="BI30" s="57" t="str">
        <f t="shared" si="20"/>
        <v/>
      </c>
      <c r="BJ30" s="57" t="str">
        <f t="shared" si="20"/>
        <v/>
      </c>
      <c r="BK30" s="57" t="str">
        <f t="shared" si="20"/>
        <v/>
      </c>
      <c r="BL30" s="57" t="str">
        <f t="shared" si="20"/>
        <v/>
      </c>
      <c r="BM30" s="57" t="str">
        <f t="shared" si="20"/>
        <v/>
      </c>
      <c r="BN30" s="57" t="str">
        <f t="shared" si="20"/>
        <v/>
      </c>
      <c r="BO30" s="57" t="str">
        <f t="shared" si="20"/>
        <v/>
      </c>
      <c r="BP30" s="57" t="str">
        <f t="shared" si="20"/>
        <v/>
      </c>
      <c r="BQ30" s="57" t="str">
        <f t="shared" si="20"/>
        <v/>
      </c>
      <c r="BR30" s="57" t="str">
        <f t="shared" si="20"/>
        <v/>
      </c>
      <c r="BS30" s="65" t="str">
        <f t="shared" si="20"/>
        <v/>
      </c>
    </row>
    <row r="31" spans="2:71" ht="15.75" thickBot="1" x14ac:dyDescent="0.3">
      <c r="B31" s="57"/>
      <c r="C31" s="57"/>
      <c r="D31" s="57"/>
      <c r="E31" s="57"/>
      <c r="F31" s="57"/>
      <c r="G31" s="57"/>
      <c r="H31" s="57"/>
      <c r="I31" s="59" t="str">
        <f t="shared" si="1"/>
        <v>WS, 15</v>
      </c>
      <c r="J31" s="57">
        <v>15</v>
      </c>
      <c r="K31" s="66" t="str">
        <f t="shared" si="15"/>
        <v>1, 15</v>
      </c>
      <c r="L31" s="67" t="str">
        <f t="shared" si="15"/>
        <v/>
      </c>
      <c r="M31" s="67" t="str">
        <f t="shared" si="15"/>
        <v/>
      </c>
      <c r="N31" s="67" t="str">
        <f t="shared" si="15"/>
        <v/>
      </c>
      <c r="O31" s="67" t="str">
        <f t="shared" si="15"/>
        <v/>
      </c>
      <c r="P31" s="67" t="str">
        <f t="shared" si="15"/>
        <v>2, 15</v>
      </c>
      <c r="Q31" s="67" t="str">
        <f t="shared" si="15"/>
        <v/>
      </c>
      <c r="R31" s="67" t="str">
        <f t="shared" si="15"/>
        <v/>
      </c>
      <c r="S31" s="67" t="str">
        <f t="shared" si="15"/>
        <v/>
      </c>
      <c r="T31" s="67" t="str">
        <f t="shared" si="15"/>
        <v/>
      </c>
      <c r="U31" s="67" t="str">
        <f t="shared" si="16"/>
        <v>3, 15</v>
      </c>
      <c r="V31" s="67" t="str">
        <f t="shared" si="16"/>
        <v/>
      </c>
      <c r="W31" s="67" t="str">
        <f t="shared" si="16"/>
        <v/>
      </c>
      <c r="X31" s="67" t="str">
        <f t="shared" si="16"/>
        <v/>
      </c>
      <c r="Y31" s="67" t="str">
        <f t="shared" si="16"/>
        <v/>
      </c>
      <c r="Z31" s="67" t="str">
        <f t="shared" si="16"/>
        <v>4, 15</v>
      </c>
      <c r="AA31" s="67" t="str">
        <f t="shared" si="16"/>
        <v/>
      </c>
      <c r="AB31" s="67" t="str">
        <f t="shared" si="16"/>
        <v/>
      </c>
      <c r="AC31" s="67" t="str">
        <f t="shared" si="16"/>
        <v/>
      </c>
      <c r="AD31" s="67" t="str">
        <f t="shared" si="16"/>
        <v/>
      </c>
      <c r="AE31" s="67" t="str">
        <f t="shared" si="17"/>
        <v>5, 15</v>
      </c>
      <c r="AF31" s="67" t="str">
        <f t="shared" si="17"/>
        <v/>
      </c>
      <c r="AG31" s="67" t="str">
        <f t="shared" si="17"/>
        <v/>
      </c>
      <c r="AH31" s="67" t="str">
        <f t="shared" si="17"/>
        <v/>
      </c>
      <c r="AI31" s="67" t="str">
        <f t="shared" si="17"/>
        <v/>
      </c>
      <c r="AJ31" s="67" t="str">
        <f t="shared" si="17"/>
        <v>6, 15</v>
      </c>
      <c r="AK31" s="67" t="str">
        <f t="shared" si="17"/>
        <v/>
      </c>
      <c r="AL31" s="67" t="str">
        <f t="shared" si="17"/>
        <v/>
      </c>
      <c r="AM31" s="67" t="str">
        <f t="shared" si="17"/>
        <v/>
      </c>
      <c r="AN31" s="67" t="str">
        <f t="shared" si="17"/>
        <v/>
      </c>
      <c r="AO31" s="67" t="str">
        <f t="shared" si="18"/>
        <v>7, 15</v>
      </c>
      <c r="AP31" s="67" t="str">
        <f t="shared" si="18"/>
        <v/>
      </c>
      <c r="AQ31" s="67" t="str">
        <f t="shared" si="18"/>
        <v/>
      </c>
      <c r="AR31" s="67" t="str">
        <f t="shared" si="18"/>
        <v/>
      </c>
      <c r="AS31" s="67" t="str">
        <f t="shared" si="18"/>
        <v/>
      </c>
      <c r="AT31" s="67" t="str">
        <f t="shared" si="18"/>
        <v>8, 15</v>
      </c>
      <c r="AU31" s="67" t="str">
        <f t="shared" si="18"/>
        <v/>
      </c>
      <c r="AV31" s="67" t="str">
        <f t="shared" si="18"/>
        <v/>
      </c>
      <c r="AW31" s="67" t="str">
        <f t="shared" si="18"/>
        <v/>
      </c>
      <c r="AX31" s="67" t="str">
        <f t="shared" si="18"/>
        <v/>
      </c>
      <c r="AY31" s="67" t="str">
        <f t="shared" si="19"/>
        <v>9, 15</v>
      </c>
      <c r="AZ31" s="67" t="str">
        <f t="shared" si="19"/>
        <v/>
      </c>
      <c r="BA31" s="67" t="str">
        <f t="shared" si="19"/>
        <v/>
      </c>
      <c r="BB31" s="67" t="str">
        <f t="shared" si="19"/>
        <v/>
      </c>
      <c r="BC31" s="67" t="str">
        <f t="shared" si="19"/>
        <v/>
      </c>
      <c r="BD31" s="67" t="str">
        <f t="shared" si="19"/>
        <v>10, 15</v>
      </c>
      <c r="BE31" s="67" t="str">
        <f t="shared" si="19"/>
        <v/>
      </c>
      <c r="BF31" s="67" t="str">
        <f t="shared" si="19"/>
        <v/>
      </c>
      <c r="BG31" s="67" t="str">
        <f t="shared" si="19"/>
        <v/>
      </c>
      <c r="BH31" s="67" t="str">
        <f t="shared" si="19"/>
        <v/>
      </c>
      <c r="BI31" s="67" t="str">
        <f t="shared" si="20"/>
        <v>11, 15</v>
      </c>
      <c r="BJ31" s="67" t="str">
        <f t="shared" si="20"/>
        <v/>
      </c>
      <c r="BK31" s="67" t="str">
        <f t="shared" si="20"/>
        <v/>
      </c>
      <c r="BL31" s="67" t="str">
        <f t="shared" si="20"/>
        <v/>
      </c>
      <c r="BM31" s="67" t="str">
        <f t="shared" si="20"/>
        <v/>
      </c>
      <c r="BN31" s="67" t="str">
        <f t="shared" si="20"/>
        <v>12, 15</v>
      </c>
      <c r="BO31" s="67" t="str">
        <f t="shared" si="20"/>
        <v/>
      </c>
      <c r="BP31" s="67" t="str">
        <f t="shared" si="20"/>
        <v/>
      </c>
      <c r="BQ31" s="67" t="str">
        <f t="shared" si="20"/>
        <v/>
      </c>
      <c r="BR31" s="67" t="str">
        <f t="shared" si="20"/>
        <v/>
      </c>
      <c r="BS31" s="68" t="str">
        <f t="shared" si="20"/>
        <v>13, 15</v>
      </c>
    </row>
    <row r="32" spans="2:71" x14ac:dyDescent="0.25">
      <c r="B32" s="57"/>
      <c r="C32" s="57"/>
      <c r="D32" s="57"/>
      <c r="E32" s="57"/>
      <c r="F32" s="57"/>
      <c r="G32" s="57"/>
      <c r="H32" s="57"/>
      <c r="I32" s="59" t="str">
        <f t="shared" si="1"/>
        <v/>
      </c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</row>
    <row r="33" spans="2:71" ht="15.75" thickBot="1" x14ac:dyDescent="0.3">
      <c r="B33" s="57"/>
      <c r="C33" s="57"/>
      <c r="D33" s="57"/>
      <c r="E33" s="57"/>
      <c r="F33" s="57"/>
      <c r="G33" s="57"/>
      <c r="H33" s="57"/>
      <c r="I33" s="60" t="str">
        <f t="shared" si="1"/>
        <v>WS, 16</v>
      </c>
      <c r="J33" s="57">
        <v>16</v>
      </c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How to play 13 Packs Solitaire</vt:lpstr>
      <vt:lpstr>Play 13 Packs Solitaire</vt:lpstr>
      <vt:lpstr>Play 13 Packs (Dev View)</vt:lpstr>
      <vt:lpstr>Display Map</vt:lpstr>
      <vt:lpstr>Selections</vt:lpstr>
      <vt:lpstr>Tables</vt:lpstr>
      <vt:lpstr>Move History</vt:lpstr>
      <vt:lpstr>Analytics</vt:lpstr>
      <vt:lpstr>Template for display 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Trent Dexter</dc:creator>
  <cp:lastModifiedBy>Trent Dexter</cp:lastModifiedBy>
  <dcterms:created xsi:type="dcterms:W3CDTF">2025-03-18T16:34:10Z</dcterms:created>
  <dcterms:modified xsi:type="dcterms:W3CDTF">2025-03-26T21:22:32Z</dcterms:modified>
</cp:coreProperties>
</file>